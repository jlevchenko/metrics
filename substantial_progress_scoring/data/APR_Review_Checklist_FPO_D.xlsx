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5" activeTab="7" autoFilterDateGrouping="1"/>
  </bookViews>
  <sheets>
    <sheet xmlns:r="http://schemas.openxmlformats.org/officeDocument/2006/relationships" name="FY 24 Y1 APR Checklist" sheetId="1" state="visible" r:id="rId1"/>
    <sheet xmlns:r="http://schemas.openxmlformats.org/officeDocument/2006/relationships" name="Definitions" sheetId="2" state="visible" r:id="rId2"/>
    <sheet xmlns:r="http://schemas.openxmlformats.org/officeDocument/2006/relationships" name=" SBMH SP Template" sheetId="3" state="visible" r:id="rId3"/>
    <sheet xmlns:r="http://schemas.openxmlformats.org/officeDocument/2006/relationships" name="MHSP SP Template" sheetId="4" state="visible" r:id="rId4"/>
    <sheet xmlns:r="http://schemas.openxmlformats.org/officeDocument/2006/relationships" name="S184H240263 NHDOE" sheetId="5" state="visible" r:id="rId5"/>
    <sheet xmlns:r="http://schemas.openxmlformats.org/officeDocument/2006/relationships" name="S184H240291 Winnebago" sheetId="6" state="visible" r:id="rId6"/>
    <sheet xmlns:r="http://schemas.openxmlformats.org/officeDocument/2006/relationships" name="S184X240114 Washington County" sheetId="7" state="visible" r:id="rId7"/>
    <sheet xmlns:r="http://schemas.openxmlformats.org/officeDocument/2006/relationships" name="S184X240031 U of Central OK" sheetId="8" state="visible" r:id="rId8"/>
  </sheets>
  <definedNames/>
  <calcPr calcId="191028" fullCalcOnLoad="1"/>
</workbook>
</file>

<file path=xl/styles.xml><?xml version="1.0" encoding="utf-8"?>
<styleSheet xmlns="http://schemas.openxmlformats.org/spreadsheetml/2006/main">
  <numFmts count="0"/>
  <fonts count="13">
    <font>
      <name val="Aptos Narrow"/>
      <family val="2"/>
      <color theme="1"/>
      <sz val="11"/>
      <scheme val="minor"/>
    </font>
    <font>
      <name val="Aptos Narrow"/>
      <family val="2"/>
      <color theme="1"/>
      <sz val="11"/>
      <scheme val="minor"/>
    </font>
    <font>
      <name val="Aptos Narrow"/>
      <family val="2"/>
      <b val="1"/>
      <color theme="1"/>
      <sz val="11"/>
      <scheme val="minor"/>
    </font>
    <font>
      <name val="Aptos Narrow"/>
      <family val="2"/>
      <i val="1"/>
      <color theme="1"/>
      <sz val="11"/>
      <scheme val="minor"/>
    </font>
    <font>
      <name val="Calibri"/>
      <family val="2"/>
      <color rgb="FF000000"/>
      <sz val="11"/>
    </font>
    <font>
      <name val="Calibri"/>
      <family val="2"/>
      <b val="1"/>
      <color rgb="FF000000"/>
      <sz val="11"/>
    </font>
    <font>
      <name val="Calibri"/>
      <family val="2"/>
      <b val="1"/>
      <color rgb="FF000000"/>
      <sz val="9"/>
    </font>
    <font>
      <name val="Calibri"/>
      <family val="2"/>
      <color rgb="FF000000"/>
      <sz val="8"/>
    </font>
    <font>
      <name val="Calibri"/>
      <family val="2"/>
      <color rgb="FF000000"/>
      <sz val="9"/>
    </font>
    <font>
      <name val="Source Sans Pro"/>
      <family val="2"/>
      <color theme="1"/>
      <sz val="11"/>
    </font>
    <font>
      <name val="Aptos Narrow"/>
      <family val="2"/>
      <b val="1"/>
      <i val="1"/>
      <color theme="1"/>
      <sz val="11"/>
      <scheme val="minor"/>
    </font>
    <font>
      <name val="Tahoma"/>
      <family val="2"/>
      <b val="1"/>
      <color indexed="81"/>
      <sz val="9"/>
    </font>
    <font>
      <name val="Tahoma"/>
      <family val="2"/>
      <color indexed="81"/>
      <sz val="9"/>
    </font>
  </fonts>
  <fills count="19">
    <fill>
      <patternFill/>
    </fill>
    <fill>
      <patternFill patternType="gray125"/>
    </fill>
    <fill>
      <patternFill patternType="solid">
        <fgColor theme="2"/>
        <bgColor indexed="64"/>
      </patternFill>
    </fill>
    <fill>
      <patternFill patternType="solid">
        <fgColor theme="8" tint="0.7999816888943144"/>
        <bgColor indexed="64"/>
      </patternFill>
    </fill>
    <fill>
      <patternFill patternType="solid">
        <fgColor theme="9" tint="0.5999938962981048"/>
        <bgColor indexed="64"/>
      </patternFill>
    </fill>
    <fill>
      <patternFill patternType="solid">
        <fgColor theme="9" tint="0.7999816888943144"/>
        <bgColor indexed="64"/>
      </patternFill>
    </fill>
    <fill>
      <patternFill patternType="solid">
        <fgColor rgb="FFFF99FF"/>
        <bgColor indexed="64"/>
      </patternFill>
    </fill>
    <fill>
      <patternFill patternType="solid">
        <fgColor rgb="FFFFCCFF"/>
        <bgColor rgb="FF000000"/>
      </patternFill>
    </fill>
    <fill>
      <patternFill patternType="solid">
        <fgColor theme="5" tint="0.5999938962981048"/>
        <bgColor rgb="FF000000"/>
      </patternFill>
    </fill>
    <fill>
      <patternFill patternType="solid">
        <fgColor rgb="FFF8CBAD"/>
        <bgColor rgb="FF000000"/>
      </patternFill>
    </fill>
    <fill>
      <patternFill patternType="solid">
        <fgColor rgb="FFD9E1F2"/>
        <bgColor rgb="FF000000"/>
      </patternFill>
    </fill>
    <fill>
      <patternFill patternType="solid">
        <fgColor rgb="FFFFF2CC"/>
        <bgColor rgb="FF000000"/>
      </patternFill>
    </fill>
    <fill>
      <patternFill patternType="solid">
        <fgColor rgb="FFE2EFDA"/>
        <bgColor rgb="FF000000"/>
      </patternFill>
    </fill>
    <fill>
      <patternFill patternType="solid">
        <fgColor rgb="FFFFFFFF"/>
        <bgColor rgb="FF000000"/>
      </patternFill>
    </fill>
    <fill>
      <patternFill patternType="solid">
        <fgColor rgb="FFF2F2F2"/>
        <bgColor rgb="FF000000"/>
      </patternFill>
    </fill>
    <fill>
      <patternFill patternType="solid">
        <fgColor rgb="FF00B050"/>
        <bgColor indexed="64"/>
      </patternFill>
    </fill>
    <fill>
      <patternFill patternType="solid">
        <fgColor rgb="FFFFFF00"/>
        <bgColor indexed="64"/>
      </patternFill>
    </fill>
    <fill>
      <patternFill patternType="solid">
        <fgColor theme="7"/>
        <bgColor indexed="64"/>
      </patternFill>
    </fill>
    <fill>
      <patternFill patternType="solid">
        <fgColor rgb="FFFF0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bottom/>
      <diagonal/>
    </border>
  </borders>
  <cellStyleXfs count="2">
    <xf numFmtId="0" fontId="1" fillId="0" borderId="0"/>
    <xf numFmtId="9" fontId="1" fillId="0" borderId="0"/>
  </cellStyleXfs>
  <cellXfs count="83">
    <xf numFmtId="0" fontId="0" fillId="0" borderId="0" pivotButton="0" quotePrefix="0" xfId="0"/>
    <xf numFmtId="0" fontId="2" fillId="0" borderId="0" applyAlignment="1" pivotButton="0" quotePrefix="0" xfId="0">
      <alignment horizontal="center" vertical="center"/>
    </xf>
    <xf numFmtId="0" fontId="0" fillId="2" borderId="1" pivotButton="0" quotePrefix="0" xfId="0"/>
    <xf numFmtId="0" fontId="2" fillId="0" borderId="2" applyAlignment="1" pivotButton="0" quotePrefix="0" xfId="0">
      <alignment horizontal="center"/>
    </xf>
    <xf numFmtId="9" fontId="2" fillId="0" borderId="3" applyAlignment="1" pivotButton="0" quotePrefix="0" xfId="1">
      <alignment horizontal="center"/>
    </xf>
    <xf numFmtId="0" fontId="2" fillId="0" borderId="3" applyAlignment="1" pivotButton="0" quotePrefix="0" xfId="0">
      <alignment horizontal="center"/>
    </xf>
    <xf numFmtId="9" fontId="0" fillId="0" borderId="0" pivotButton="0" quotePrefix="0" xfId="1"/>
    <xf numFmtId="0" fontId="2" fillId="0" borderId="0" applyAlignment="1" pivotButton="0" quotePrefix="0" xfId="0">
      <alignment horizontal="center"/>
    </xf>
    <xf numFmtId="9" fontId="2" fillId="0" borderId="0" applyAlignment="1" pivotButton="0" quotePrefix="0" xfId="1">
      <alignment horizontal="center"/>
    </xf>
    <xf numFmtId="0" fontId="3" fillId="0" borderId="0" pivotButton="0" quotePrefix="0" xfId="0"/>
    <xf numFmtId="0" fontId="0" fillId="3" borderId="1" pivotButton="0" quotePrefix="0" xfId="0"/>
    <xf numFmtId="9" fontId="0" fillId="2" borderId="1" pivotButton="0" quotePrefix="0" xfId="1"/>
    <xf numFmtId="0" fontId="0" fillId="3" borderId="0" pivotButton="0" quotePrefix="0" xfId="0"/>
    <xf numFmtId="0" fontId="3" fillId="0" borderId="0" applyAlignment="1" pivotButton="0" quotePrefix="0" xfId="0">
      <alignment wrapText="1"/>
    </xf>
    <xf numFmtId="0" fontId="2" fillId="2" borderId="1" pivotButton="0" quotePrefix="0" xfId="0"/>
    <xf numFmtId="9" fontId="2" fillId="2" borderId="1" pivotButton="0" quotePrefix="0" xfId="1"/>
    <xf numFmtId="9" fontId="2" fillId="0" borderId="0" applyAlignment="1" pivotButton="0" quotePrefix="0" xfId="1">
      <alignment horizontal="center" vertical="center"/>
    </xf>
    <xf numFmtId="0" fontId="2" fillId="4" borderId="1" pivotButton="0" quotePrefix="0" xfId="0"/>
    <xf numFmtId="0" fontId="0" fillId="0" borderId="1" pivotButton="0" quotePrefix="0" xfId="0"/>
    <xf numFmtId="2" fontId="0" fillId="0" borderId="1" pivotButton="0" quotePrefix="0" xfId="1"/>
    <xf numFmtId="2" fontId="0" fillId="0" borderId="1" pivotButton="0" quotePrefix="0" xfId="0"/>
    <xf numFmtId="0" fontId="2" fillId="0" borderId="1" pivotButton="0" quotePrefix="0" xfId="0"/>
    <xf numFmtId="0" fontId="0" fillId="2" borderId="1" pivotButton="0" quotePrefix="0" xfId="1"/>
    <xf numFmtId="1" fontId="0" fillId="0" borderId="1" pivotButton="0" quotePrefix="0" xfId="1"/>
    <xf numFmtId="1" fontId="0" fillId="0" borderId="1" pivotButton="0" quotePrefix="0" xfId="0"/>
    <xf numFmtId="0" fontId="0" fillId="5" borderId="1" pivotButton="0" quotePrefix="0" xfId="0"/>
    <xf numFmtId="1" fontId="0" fillId="3" borderId="1" pivotButton="0" quotePrefix="0" xfId="1"/>
    <xf numFmtId="0" fontId="2" fillId="6" borderId="1" pivotButton="0" quotePrefix="0" xfId="0"/>
    <xf numFmtId="9" fontId="2" fillId="6" borderId="1" pivotButton="0" quotePrefix="0" xfId="1"/>
    <xf numFmtId="0" fontId="5" fillId="7" borderId="4" applyAlignment="1" pivotButton="0" quotePrefix="0" xfId="0">
      <alignment horizontal="left" vertical="top"/>
    </xf>
    <xf numFmtId="0" fontId="5" fillId="7" borderId="4" applyAlignment="1" pivotButton="0" quotePrefix="0" xfId="0">
      <alignment horizontal="left" vertical="top" wrapText="1"/>
    </xf>
    <xf numFmtId="0" fontId="5" fillId="8" borderId="4" applyAlignment="1" pivotButton="0" quotePrefix="0" xfId="0">
      <alignment horizontal="left" vertical="top" wrapText="1"/>
    </xf>
    <xf numFmtId="0" fontId="5" fillId="9" borderId="1" applyAlignment="1" pivotButton="0" quotePrefix="0" xfId="0">
      <alignment vertical="top" wrapText="1"/>
    </xf>
    <xf numFmtId="0" fontId="5" fillId="12" borderId="1" applyAlignment="1" pivotButton="0" quotePrefix="0" xfId="0">
      <alignment vertical="top" wrapText="1"/>
    </xf>
    <xf numFmtId="0" fontId="5" fillId="14" borderId="1" applyAlignment="1" pivotButton="0" quotePrefix="0" xfId="0">
      <alignment vertical="top" wrapText="1"/>
    </xf>
    <xf numFmtId="0" fontId="5" fillId="14" borderId="0" applyAlignment="1" pivotButton="0" quotePrefix="0" xfId="0">
      <alignment vertical="top" wrapText="1"/>
    </xf>
    <xf numFmtId="0" fontId="6" fillId="0" borderId="0" applyAlignment="1" pivotButton="0" quotePrefix="0" xfId="0">
      <alignment vertical="top" wrapText="1"/>
    </xf>
    <xf numFmtId="0" fontId="4" fillId="7" borderId="5" applyAlignment="1" pivotButton="0" quotePrefix="0" xfId="0">
      <alignment horizontal="left" vertical="top"/>
    </xf>
    <xf numFmtId="0" fontId="4" fillId="7" borderId="5" applyAlignment="1" pivotButton="0" quotePrefix="0" xfId="0">
      <alignment horizontal="left" vertical="top" wrapText="1"/>
    </xf>
    <xf numFmtId="0" fontId="4" fillId="8" borderId="5" applyAlignment="1" pivotButton="0" quotePrefix="0" xfId="0">
      <alignment horizontal="left" vertical="top" wrapText="1"/>
    </xf>
    <xf numFmtId="0" fontId="7" fillId="9" borderId="1" applyAlignment="1" pivotButton="0" quotePrefix="0" xfId="0">
      <alignment vertical="top" wrapText="1"/>
    </xf>
    <xf numFmtId="0" fontId="7" fillId="12" borderId="1" applyAlignment="1" pivotButton="0" quotePrefix="0" xfId="0">
      <alignment vertical="top" wrapText="1"/>
    </xf>
    <xf numFmtId="0" fontId="4" fillId="14" borderId="1" applyAlignment="1" pivotButton="0" quotePrefix="0" xfId="0">
      <alignment vertical="top" wrapText="1"/>
    </xf>
    <xf numFmtId="0" fontId="4" fillId="14" borderId="0" applyAlignment="1" pivotButton="0" quotePrefix="0" xfId="0">
      <alignment vertical="top" wrapText="1"/>
    </xf>
    <xf numFmtId="0" fontId="8" fillId="0" borderId="0" applyAlignment="1" pivotButton="0" quotePrefix="0" xfId="0">
      <alignment wrapText="1"/>
    </xf>
    <xf numFmtId="0" fontId="9" fillId="0" borderId="7" applyAlignment="1" pivotButton="0" quotePrefix="0" xfId="0">
      <alignment wrapText="1"/>
    </xf>
    <xf numFmtId="0" fontId="9" fillId="0" borderId="8" applyAlignment="1" pivotButton="0" quotePrefix="0" xfId="0">
      <alignment wrapText="1"/>
    </xf>
    <xf numFmtId="0" fontId="0" fillId="0" borderId="0" pivotButton="0" quotePrefix="0" xfId="0"/>
    <xf numFmtId="14" fontId="0" fillId="0" borderId="0" pivotButton="0" quotePrefix="0" xfId="0"/>
    <xf numFmtId="0" fontId="5" fillId="9" borderId="4" applyAlignment="1" pivotButton="0" quotePrefix="0" xfId="0">
      <alignment vertical="top" wrapText="1"/>
    </xf>
    <xf numFmtId="0" fontId="5" fillId="9" borderId="5" applyAlignment="1" pivotButton="0" quotePrefix="0" xfId="0">
      <alignment vertical="top" wrapText="1"/>
    </xf>
    <xf numFmtId="0" fontId="0" fillId="0" borderId="0" applyAlignment="1" pivotButton="0" quotePrefix="0" xfId="0">
      <alignment wrapText="1"/>
    </xf>
    <xf numFmtId="0" fontId="0" fillId="15" borderId="0" pivotButton="0" quotePrefix="0" xfId="0"/>
    <xf numFmtId="0" fontId="0" fillId="16" borderId="0" pivotButton="0" quotePrefix="0" xfId="0"/>
    <xf numFmtId="0" fontId="0" fillId="17" borderId="0" pivotButton="0" quotePrefix="0" xfId="0"/>
    <xf numFmtId="0" fontId="0" fillId="18" borderId="0" pivotButton="0" quotePrefix="0" xfId="0"/>
    <xf numFmtId="0" fontId="2" fillId="0" borderId="0" pivotButton="0" quotePrefix="0" xfId="0"/>
    <xf numFmtId="0" fontId="10" fillId="5" borderId="0" pivotButton="0" quotePrefix="0" xfId="0"/>
    <xf numFmtId="0" fontId="0" fillId="5" borderId="0" pivotButton="0" quotePrefix="0" xfId="0"/>
    <xf numFmtId="0" fontId="0" fillId="5" borderId="0" applyAlignment="1" pivotButton="0" quotePrefix="0" xfId="0">
      <alignment vertical="center"/>
    </xf>
    <xf numFmtId="0" fontId="10" fillId="0" borderId="0" applyAlignment="1" pivotButton="0" quotePrefix="0" xfId="0">
      <alignment vertical="center"/>
    </xf>
    <xf numFmtId="0" fontId="0" fillId="0" borderId="0" applyAlignment="1" pivotButton="0" quotePrefix="0" xfId="0">
      <alignment vertical="center"/>
    </xf>
    <xf numFmtId="0" fontId="10" fillId="0" borderId="0" pivotButton="0" quotePrefix="0" xfId="0"/>
    <xf numFmtId="0" fontId="10" fillId="4" borderId="1" pivotButton="0" quotePrefix="0" xfId="0"/>
    <xf numFmtId="0" fontId="10" fillId="0" borderId="1" pivotButton="0" quotePrefix="0" xfId="0"/>
    <xf numFmtId="0" fontId="5" fillId="10" borderId="4" applyAlignment="1" pivotButton="0" quotePrefix="0" xfId="0">
      <alignment vertical="top" wrapText="1"/>
    </xf>
    <xf numFmtId="0" fontId="5" fillId="10" borderId="5" applyAlignment="1" pivotButton="0" quotePrefix="0" xfId="0">
      <alignment vertical="top" wrapText="1"/>
    </xf>
    <xf numFmtId="0" fontId="4" fillId="7" borderId="4" applyAlignment="1" pivotButton="0" quotePrefix="0" xfId="0">
      <alignment vertical="top" wrapText="1"/>
    </xf>
    <xf numFmtId="0" fontId="4" fillId="7" borderId="5" applyAlignment="1" pivotButton="0" quotePrefix="0" xfId="0">
      <alignment vertical="top" wrapText="1"/>
    </xf>
    <xf numFmtId="0" fontId="4" fillId="7" borderId="4" applyAlignment="1" pivotButton="0" quotePrefix="0" xfId="0">
      <alignment horizontal="left" vertical="top"/>
    </xf>
    <xf numFmtId="0" fontId="4" fillId="7" borderId="6" applyAlignment="1" pivotButton="0" quotePrefix="0" xfId="0">
      <alignment horizontal="left" vertical="top"/>
    </xf>
    <xf numFmtId="0" fontId="5" fillId="9" borderId="4" applyAlignment="1" pivotButton="0" quotePrefix="0" xfId="0">
      <alignment vertical="top" wrapText="1"/>
    </xf>
    <xf numFmtId="0" fontId="5" fillId="9" borderId="5" applyAlignment="1" pivotButton="0" quotePrefix="0" xfId="0">
      <alignment vertical="top" wrapText="1"/>
    </xf>
    <xf numFmtId="0" fontId="5" fillId="13" borderId="4" applyAlignment="1" pivotButton="0" quotePrefix="0" xfId="0">
      <alignment vertical="top" wrapText="1"/>
    </xf>
    <xf numFmtId="0" fontId="5" fillId="13" borderId="5" applyAlignment="1" pivotButton="0" quotePrefix="0" xfId="0">
      <alignment vertical="top" wrapText="1"/>
    </xf>
    <xf numFmtId="0" fontId="5" fillId="11" borderId="4" applyAlignment="1" pivotButton="0" quotePrefix="0" xfId="0">
      <alignment vertical="top" wrapText="1"/>
    </xf>
    <xf numFmtId="0" fontId="5" fillId="11" borderId="5" applyAlignment="1" pivotButton="0" quotePrefix="0" xfId="0">
      <alignment vertical="top" wrapText="1"/>
    </xf>
    <xf numFmtId="0" fontId="4" fillId="7"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3" borderId="1" applyAlignment="1" pivotButton="0" quotePrefix="0" xfId="0">
      <alignment vertical="top" wrapText="1"/>
    </xf>
    <xf numFmtId="0" fontId="0" fillId="0" borderId="5" pivotButton="0" quotePrefix="0" xfId="0"/>
    <xf numFmtId="0" fontId="0" fillId="0" borderId="6" pivotButton="0" quotePrefix="0" xfId="0"/>
  </cellXfs>
  <cellStyles count="2">
    <cellStyle name="Normal" xfId="0" builtinId="0"/>
    <cellStyle name="Percent"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Carr, Dana</author>
  </authors>
  <commentList>
    <comment ref="B56" authorId="0" shapeId="0">
      <text>
        <t xml:space="preserve">Carr, Dana:
Assuming student pop stays stable
</t>
      </text>
    </comment>
    <comment ref="B57" authorId="0" shapeId="0">
      <text>
        <t xml:space="preserve">Carr, Dana:
Assuming student pop stays stable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6"/>
  <sheetViews>
    <sheetView topLeftCell="X1" workbookViewId="0">
      <selection activeCell="Z6" sqref="Z6"/>
    </sheetView>
  </sheetViews>
  <sheetFormatPr baseColWidth="8" defaultRowHeight="14.5"/>
  <cols>
    <col width="15.54296875" customWidth="1" style="47" min="1" max="1"/>
    <col width="42.54296875" customWidth="1" style="47" min="2" max="2"/>
    <col width="13.81640625" customWidth="1" style="47" min="4" max="4"/>
    <col width="9.1796875" bestFit="1" customWidth="1" style="47" min="5" max="5"/>
    <col width="12.7265625" customWidth="1" style="47" min="6" max="6"/>
    <col width="12.453125" customWidth="1" style="47" min="11" max="11"/>
    <col width="10.81640625" customWidth="1" style="47" min="12" max="12"/>
    <col width="10.26953125" customWidth="1" style="47" min="18" max="18"/>
    <col width="11.7265625" customWidth="1" style="47" min="19" max="19"/>
    <col width="11.81640625" customWidth="1" style="47" min="24" max="24"/>
    <col width="145.36328125" customWidth="1" style="47" min="26" max="26"/>
  </cols>
  <sheetData>
    <row r="1" ht="72.5" customHeight="1" s="47">
      <c r="A1" s="77" t="inlineStr">
        <is>
          <t>PR #</t>
        </is>
      </c>
      <c r="B1" s="69" t="inlineStr">
        <is>
          <t>PR Name</t>
        </is>
      </c>
      <c r="C1" s="29" t="inlineStr">
        <is>
          <t>State</t>
        </is>
      </c>
      <c r="D1" s="30" t="inlineStr">
        <is>
          <t>APR Submitted?</t>
        </is>
      </c>
      <c r="E1" s="30" t="inlineStr">
        <is>
          <t>Date Received</t>
        </is>
      </c>
      <c r="F1" s="31" t="inlineStr">
        <is>
          <t>Expenditures</t>
        </is>
      </c>
      <c r="G1" s="32" t="inlineStr">
        <is>
          <t>Cover Sheet: ICR Included</t>
        </is>
      </c>
      <c r="H1" s="32" t="inlineStr">
        <is>
          <t>Cover Sheet: 25% match</t>
        </is>
      </c>
      <c r="I1" s="32" t="inlineStr">
        <is>
          <t>Cover Sheet:  CO Signature</t>
        </is>
      </c>
      <c r="J1" s="32" t="inlineStr">
        <is>
          <t>Cover Sheet:      #10, #11 N/A selected</t>
        </is>
      </c>
      <c r="K1" s="71" t="inlineStr">
        <is>
          <t>Attestation</t>
        </is>
      </c>
      <c r="L1" s="78" t="inlineStr">
        <is>
          <t>Executive Summary</t>
        </is>
      </c>
      <c r="M1" s="79" t="inlineStr">
        <is>
          <t>Section A: GPRA 1</t>
        </is>
      </c>
      <c r="N1" s="79" t="inlineStr">
        <is>
          <t>Section A: GPRA 2</t>
        </is>
      </c>
      <c r="O1" s="79" t="inlineStr">
        <is>
          <t>Section A: GPRA 3</t>
        </is>
      </c>
      <c r="P1" s="79" t="inlineStr">
        <is>
          <t>Section A: GPRA 4</t>
        </is>
      </c>
      <c r="Q1" s="79" t="inlineStr">
        <is>
          <t>Section A: GPRA 5</t>
        </is>
      </c>
      <c r="R1" s="33" t="inlineStr">
        <is>
          <t>Section B: Budget</t>
        </is>
      </c>
      <c r="S1" s="80" t="inlineStr">
        <is>
          <t xml:space="preserve">Section C: if applicable </t>
        </is>
      </c>
      <c r="T1" s="34" t="inlineStr">
        <is>
          <t>Step 1: FPO sent feedback</t>
        </is>
      </c>
      <c r="U1" s="34" t="inlineStr">
        <is>
          <t>Step 2: TA Center sent feedback</t>
        </is>
      </c>
      <c r="V1" s="34" t="inlineStr">
        <is>
          <t>Step 3: Grantee sent revisions</t>
        </is>
      </c>
      <c r="W1" s="34" t="inlineStr">
        <is>
          <t>Step 4: APR uploaded in G5</t>
        </is>
      </c>
      <c r="X1" s="35" t="inlineStr">
        <is>
          <t>Substantial Progress</t>
        </is>
      </c>
      <c r="Y1" s="35" t="inlineStr">
        <is>
          <t>SP marked in G5?</t>
        </is>
      </c>
      <c r="Z1" s="36" t="inlineStr">
        <is>
          <t>Notes</t>
        </is>
      </c>
    </row>
    <row r="2" ht="42" customHeight="1" s="47">
      <c r="A2" s="81" t="n"/>
      <c r="B2" s="82" t="n"/>
      <c r="C2" s="37" t="n"/>
      <c r="D2" s="38" t="n"/>
      <c r="E2" s="38" t="n"/>
      <c r="F2" s="39" t="inlineStr">
        <is>
          <t>Match G5?</t>
        </is>
      </c>
      <c r="G2" s="40" t="inlineStr">
        <is>
          <t>Needs to be 24-25 and 25-26</t>
        </is>
      </c>
      <c r="H2" s="81" t="n"/>
      <c r="I2" s="81" t="n"/>
      <c r="J2" s="81" t="n"/>
      <c r="K2" s="72" t="n"/>
      <c r="L2" s="81" t="n"/>
      <c r="M2" s="81" t="n"/>
      <c r="N2" s="81" t="n"/>
      <c r="O2" s="81" t="n"/>
      <c r="P2" s="81" t="n"/>
      <c r="Q2" s="81" t="n"/>
      <c r="R2" s="41" t="inlineStr">
        <is>
          <t>[Reviewer note redacted]</t>
        </is>
      </c>
      <c r="S2" s="81" t="n"/>
      <c r="T2" s="42" t="inlineStr">
        <is>
          <t>Y/N</t>
        </is>
      </c>
      <c r="U2" s="42" t="inlineStr">
        <is>
          <t>Y/N</t>
        </is>
      </c>
      <c r="V2" s="42" t="inlineStr">
        <is>
          <t>Y/N</t>
        </is>
      </c>
      <c r="W2" s="42" t="inlineStr">
        <is>
          <t>Y/N</t>
        </is>
      </c>
      <c r="X2" s="43" t="n"/>
      <c r="Y2" s="43" t="n"/>
      <c r="Z2" s="44" t="inlineStr">
        <is>
          <t>Sent feedback 8/26/25. Due to FPO 9/5/25.</t>
        </is>
      </c>
    </row>
    <row r="3" ht="15" customHeight="1" s="47" thickBot="1">
      <c r="A3" s="45" t="inlineStr">
        <is>
          <t>S184H240263</t>
        </is>
      </c>
      <c r="B3" s="46" t="inlineStr">
        <is>
          <t>Department of Education New Hampshire</t>
        </is>
      </c>
      <c r="C3" t="inlineStr">
        <is>
          <t>NH</t>
        </is>
      </c>
      <c r="D3" t="inlineStr">
        <is>
          <t>Yes</t>
        </is>
      </c>
      <c r="E3" s="48" t="n">
        <v>45884</v>
      </c>
      <c r="F3" t="inlineStr">
        <is>
          <t>Yes</t>
        </is>
      </c>
      <c r="G3" t="inlineStr">
        <is>
          <t>No</t>
        </is>
      </c>
      <c r="H3" t="inlineStr">
        <is>
          <t>No</t>
        </is>
      </c>
      <c r="I3" t="inlineStr">
        <is>
          <t>No</t>
        </is>
      </c>
      <c r="J3" t="inlineStr">
        <is>
          <t>Yes</t>
        </is>
      </c>
      <c r="K3" t="inlineStr">
        <is>
          <t>No</t>
        </is>
      </c>
      <c r="L3" t="inlineStr">
        <is>
          <t>Yes</t>
        </is>
      </c>
      <c r="M3" t="inlineStr">
        <is>
          <t>Yes</t>
        </is>
      </c>
      <c r="N3" t="inlineStr">
        <is>
          <t>Yes</t>
        </is>
      </c>
      <c r="O3" t="inlineStr">
        <is>
          <t>Yes</t>
        </is>
      </c>
      <c r="P3" t="inlineStr">
        <is>
          <t>Yes</t>
        </is>
      </c>
      <c r="Q3" t="inlineStr">
        <is>
          <t>Yes</t>
        </is>
      </c>
      <c r="R3" t="inlineStr">
        <is>
          <t>Yes</t>
        </is>
      </c>
      <c r="S3" t="inlineStr">
        <is>
          <t>No</t>
        </is>
      </c>
      <c r="T3" t="inlineStr">
        <is>
          <t>Y</t>
        </is>
      </c>
      <c r="Z3" t="inlineStr">
        <is>
          <t>[Reviewer note redacted]</t>
        </is>
      </c>
    </row>
    <row r="4">
      <c r="A4" t="inlineStr">
        <is>
          <t>S184H240291</t>
        </is>
      </c>
      <c r="B4" t="inlineStr">
        <is>
          <t>[Grantee name redacted]</t>
        </is>
      </c>
      <c r="C4" t="inlineStr">
        <is>
          <t>NE</t>
        </is>
      </c>
      <c r="D4" t="inlineStr">
        <is>
          <t>Yes</t>
        </is>
      </c>
      <c r="E4" s="48" t="n">
        <v>45884</v>
      </c>
      <c r="F4" t="inlineStr">
        <is>
          <t>Yes</t>
        </is>
      </c>
      <c r="G4" t="inlineStr">
        <is>
          <t>No</t>
        </is>
      </c>
      <c r="H4" t="inlineStr">
        <is>
          <t>No</t>
        </is>
      </c>
      <c r="I4" t="inlineStr">
        <is>
          <t>Yes</t>
        </is>
      </c>
      <c r="J4" t="inlineStr">
        <is>
          <t>Yes</t>
        </is>
      </c>
      <c r="K4" t="inlineStr">
        <is>
          <t>Yes</t>
        </is>
      </c>
      <c r="L4" t="inlineStr">
        <is>
          <t>Yes</t>
        </is>
      </c>
      <c r="M4" t="inlineStr">
        <is>
          <t>Yes</t>
        </is>
      </c>
      <c r="N4" t="inlineStr">
        <is>
          <t>Yes</t>
        </is>
      </c>
      <c r="O4" t="inlineStr">
        <is>
          <t>Yes</t>
        </is>
      </c>
      <c r="P4" t="inlineStr">
        <is>
          <t>Yes</t>
        </is>
      </c>
      <c r="Q4" t="inlineStr">
        <is>
          <t>Yes</t>
        </is>
      </c>
      <c r="R4" t="inlineStr">
        <is>
          <t>Yes</t>
        </is>
      </c>
      <c r="S4" t="inlineStr">
        <is>
          <t>Yes</t>
        </is>
      </c>
      <c r="T4" t="inlineStr">
        <is>
          <t>Y</t>
        </is>
      </c>
      <c r="Z4" t="inlineStr">
        <is>
          <t>[Reviewer note redacted]</t>
        </is>
      </c>
    </row>
    <row r="5">
      <c r="A5" t="inlineStr">
        <is>
          <t>S184X240114</t>
        </is>
      </c>
      <c r="B5" t="inlineStr">
        <is>
          <t>[Grantee name redacted]</t>
        </is>
      </c>
      <c r="C5" t="inlineStr">
        <is>
          <t>FL</t>
        </is>
      </c>
      <c r="D5" t="inlineStr">
        <is>
          <t>Yes</t>
        </is>
      </c>
      <c r="E5" s="48" t="n">
        <v>45883</v>
      </c>
      <c r="F5" t="inlineStr">
        <is>
          <t>Yes</t>
        </is>
      </c>
      <c r="G5" t="inlineStr">
        <is>
          <t>No</t>
        </is>
      </c>
      <c r="H5" t="inlineStr">
        <is>
          <t>N/A</t>
        </is>
      </c>
      <c r="I5" t="inlineStr">
        <is>
          <t>Yes</t>
        </is>
      </c>
      <c r="J5" t="inlineStr">
        <is>
          <t>Yes</t>
        </is>
      </c>
      <c r="K5" t="inlineStr">
        <is>
          <t>N/A</t>
        </is>
      </c>
      <c r="L5" t="inlineStr">
        <is>
          <t>Yes</t>
        </is>
      </c>
      <c r="M5" t="inlineStr">
        <is>
          <t>Yes</t>
        </is>
      </c>
      <c r="N5" t="inlineStr">
        <is>
          <t>Yes</t>
        </is>
      </c>
      <c r="O5" t="inlineStr">
        <is>
          <t>Yes</t>
        </is>
      </c>
      <c r="P5" t="inlineStr">
        <is>
          <t>N/A</t>
        </is>
      </c>
      <c r="Q5" t="inlineStr">
        <is>
          <t>N/A</t>
        </is>
      </c>
      <c r="R5" t="inlineStr">
        <is>
          <t>Yes</t>
        </is>
      </c>
      <c r="S5" t="inlineStr">
        <is>
          <t>Yes</t>
        </is>
      </c>
      <c r="Z5" t="inlineStr">
        <is>
          <t>[Reviewer note redacted]</t>
        </is>
      </c>
    </row>
    <row r="6">
      <c r="A6" t="inlineStr">
        <is>
          <t>S184X240031</t>
        </is>
      </c>
      <c r="B6" t="inlineStr">
        <is>
          <t>[Grantee name redacted]</t>
        </is>
      </c>
      <c r="C6" t="inlineStr">
        <is>
          <t>OK</t>
        </is>
      </c>
      <c r="D6" t="inlineStr">
        <is>
          <t>Yes</t>
        </is>
      </c>
      <c r="E6" s="48" t="n">
        <v>45881</v>
      </c>
      <c r="F6" t="inlineStr">
        <is>
          <t>No</t>
        </is>
      </c>
      <c r="G6" t="inlineStr">
        <is>
          <t>No</t>
        </is>
      </c>
      <c r="H6" t="inlineStr">
        <is>
          <t>N/A</t>
        </is>
      </c>
      <c r="I6" t="inlineStr">
        <is>
          <t>No</t>
        </is>
      </c>
      <c r="J6" t="inlineStr">
        <is>
          <t>Yes</t>
        </is>
      </c>
      <c r="K6" t="inlineStr">
        <is>
          <t>N/A</t>
        </is>
      </c>
      <c r="L6" t="inlineStr">
        <is>
          <t>Yes</t>
        </is>
      </c>
      <c r="M6" t="inlineStr">
        <is>
          <t>No</t>
        </is>
      </c>
      <c r="N6" t="inlineStr">
        <is>
          <t>No</t>
        </is>
      </c>
      <c r="O6" t="inlineStr">
        <is>
          <t>No</t>
        </is>
      </c>
      <c r="P6" t="inlineStr">
        <is>
          <t>N/A</t>
        </is>
      </c>
      <c r="Q6" t="inlineStr">
        <is>
          <t>N/A</t>
        </is>
      </c>
      <c r="R6" t="inlineStr">
        <is>
          <t>Yes</t>
        </is>
      </c>
      <c r="S6" t="inlineStr">
        <is>
          <t>No</t>
        </is>
      </c>
      <c r="Z6" t="inlineStr">
        <is>
          <t>[Reviewer note redacted]</t>
        </is>
      </c>
    </row>
  </sheetData>
  <mergeCells count="12">
    <mergeCell ref="P1:P2"/>
    <mergeCell ref="A1:A2"/>
    <mergeCell ref="N1:N2"/>
    <mergeCell ref="B1:B2"/>
    <mergeCell ref="M1:M2"/>
    <mergeCell ref="I1:I2"/>
    <mergeCell ref="L1:L2"/>
    <mergeCell ref="J1:J2"/>
    <mergeCell ref="H1:H2"/>
    <mergeCell ref="O1:O2"/>
    <mergeCell ref="S1:S2"/>
    <mergeCell ref="Q1:Q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73"/>
  <sheetViews>
    <sheetView workbookViewId="0">
      <selection activeCell="E12" sqref="E12"/>
    </sheetView>
  </sheetViews>
  <sheetFormatPr baseColWidth="8" defaultRowHeight="14.5"/>
  <cols>
    <col width="81.81640625" customWidth="1" style="47" min="2" max="2"/>
  </cols>
  <sheetData>
    <row r="1">
      <c r="A1" t="inlineStr">
        <is>
          <t>ADMIN FACTORS</t>
        </is>
      </c>
    </row>
    <row r="2">
      <c r="B2" s="9" t="inlineStr">
        <is>
          <t>Financial, LAB &gt;70%</t>
        </is>
      </c>
    </row>
    <row r="3">
      <c r="A3" s="52" t="inlineStr">
        <is>
          <t>A</t>
        </is>
      </c>
      <c r="B3" t="inlineStr">
        <is>
          <t xml:space="preserve">No LAB OR LAB but funds are encumbered, just not drawn down because of accounting/fiscal </t>
        </is>
      </c>
    </row>
    <row r="4">
      <c r="A4" s="53" t="inlineStr">
        <is>
          <t>B</t>
        </is>
      </c>
      <c r="B4" t="inlineStr">
        <is>
          <t>Has LAB but making progress, no concerns, plans for funds</t>
        </is>
      </c>
    </row>
    <row r="5">
      <c r="A5" s="54" t="inlineStr">
        <is>
          <t>C</t>
        </is>
      </c>
      <c r="B5" t="inlineStr">
        <is>
          <t>Has LAB but w less clear explanation or plans, or still has LAB from previous project years</t>
        </is>
      </c>
    </row>
    <row r="6">
      <c r="A6" s="55" t="inlineStr">
        <is>
          <t>F</t>
        </is>
      </c>
      <c r="B6" t="inlineStr">
        <is>
          <t>Large LAB, no plans, large LABs from previous project years</t>
        </is>
      </c>
    </row>
    <row r="8">
      <c r="B8" s="9" t="inlineStr">
        <is>
          <t>Financial, Excessive Drawdowns</t>
        </is>
      </c>
    </row>
    <row r="9">
      <c r="A9" s="52" t="inlineStr">
        <is>
          <t>A</t>
        </is>
      </c>
      <c r="B9" t="inlineStr">
        <is>
          <t>No ED</t>
        </is>
      </c>
    </row>
    <row r="10">
      <c r="A10" s="53" t="inlineStr">
        <is>
          <t>B</t>
        </is>
      </c>
      <c r="B10" t="inlineStr">
        <is>
          <t>Explained and paid back, no concerns</t>
        </is>
      </c>
    </row>
    <row r="11">
      <c r="A11" s="54" t="inlineStr">
        <is>
          <t>C</t>
        </is>
      </c>
      <c r="B11" t="inlineStr">
        <is>
          <t>Once, not paid back in timely fashion</t>
        </is>
      </c>
    </row>
    <row r="12">
      <c r="A12" s="55" t="inlineStr">
        <is>
          <t>F</t>
        </is>
      </c>
      <c r="B12" t="inlineStr">
        <is>
          <t>More than once, all funds or large amount, not paid back timely</t>
        </is>
      </c>
    </row>
    <row r="14">
      <c r="B14" s="9" t="inlineStr">
        <is>
          <t>Performance, PD changes or staffing turnover</t>
        </is>
      </c>
    </row>
    <row r="15" ht="116" customHeight="1" s="47">
      <c r="A15" s="52" t="inlineStr">
        <is>
          <t>A</t>
        </is>
      </c>
      <c r="B15" s="51" t="inlineStr">
        <is>
          <t>No PD changes or normal shifting of staff as project starts or proceeds</t>
        </is>
      </c>
    </row>
    <row r="16">
      <c r="A16" s="53" t="inlineStr">
        <is>
          <t>B</t>
        </is>
      </c>
      <c r="B16" t="inlineStr">
        <is>
          <t>Unclear staffing or some concern</t>
        </is>
      </c>
    </row>
    <row r="17">
      <c r="A17" s="54" t="inlineStr">
        <is>
          <t>C</t>
        </is>
      </c>
      <c r="B17" t="inlineStr">
        <is>
          <t>More than 1 PD or staff turnover</t>
        </is>
      </c>
    </row>
    <row r="18">
      <c r="A18" s="55" t="inlineStr">
        <is>
          <t>F</t>
        </is>
      </c>
      <c r="B18" t="inlineStr">
        <is>
          <t>High, more than 2 PDs</t>
        </is>
      </c>
    </row>
    <row r="20">
      <c r="B20" s="9" t="inlineStr">
        <is>
          <t>Performance, other</t>
        </is>
      </c>
    </row>
    <row r="21">
      <c r="A21" s="52" t="inlineStr">
        <is>
          <t>A</t>
        </is>
      </c>
      <c r="B21" t="inlineStr">
        <is>
          <t>No concerns, all components are included or quickly provided</t>
        </is>
      </c>
    </row>
    <row r="22" ht="43.5" customHeight="1" s="47">
      <c r="A22" s="53" t="inlineStr">
        <is>
          <t>B</t>
        </is>
      </c>
      <c r="B22" s="51" t="inlineStr">
        <is>
          <t>Some questions about performance or pace of project, lack of clarity on or concern about at least one aspect of performance, one component of APR missing (please specify issues of concern in Notes column, including missing elements from APR)</t>
        </is>
      </c>
    </row>
    <row r="23" ht="58" customHeight="1" s="47">
      <c r="A23" s="54" t="inlineStr">
        <is>
          <t>C</t>
        </is>
      </c>
      <c r="B23" s="51" t="inlineStr">
        <is>
          <t>Inconsistent contact/response time, frequent changes to plan, late reports, unclear partnerships, lack of clarity on or concern about a few aspects of performance but they are making progress, more than one component of APR missing  (please specify issues of concern in Notes column, including missing elements from APR)</t>
        </is>
      </c>
    </row>
    <row r="24" ht="58" customHeight="1" s="47">
      <c r="A24" s="55" t="inlineStr">
        <is>
          <t>F</t>
        </is>
      </c>
      <c r="B24" s="51" t="inlineStr">
        <is>
          <t>Grantee is unresponsive or slow to respond, late APR or IPR, frequent changes to plan, goals are unclear, unable to identify partners or challenges with partners, adding new partners, APR missing or submitted late or significant pieces are not included  (please specify issues of concern in Notes column, including missing elements from APR)</t>
        </is>
      </c>
    </row>
    <row r="26">
      <c r="B26" s="13" t="inlineStr">
        <is>
          <t>Internal controls (could include financial adjustments, lack of drawdowns)</t>
        </is>
      </c>
    </row>
    <row r="27">
      <c r="A27" s="52" t="inlineStr">
        <is>
          <t>A</t>
        </is>
      </c>
      <c r="B27" t="inlineStr">
        <is>
          <t>No concerns</t>
        </is>
      </c>
    </row>
    <row r="28">
      <c r="A28" s="53" t="inlineStr">
        <is>
          <t>B</t>
        </is>
      </c>
      <c r="B28" t="inlineStr">
        <is>
          <t>Minimal concerns noted but not impeding progress</t>
        </is>
      </c>
    </row>
    <row r="29">
      <c r="A29" s="54" t="inlineStr">
        <is>
          <t>C</t>
        </is>
      </c>
      <c r="B29" t="inlineStr">
        <is>
          <t>Questionable internal controls</t>
        </is>
      </c>
    </row>
    <row r="30">
      <c r="A30" s="55" t="inlineStr">
        <is>
          <t>F</t>
        </is>
      </c>
      <c r="B30" s="51" t="inlineStr">
        <is>
          <t>Seeming lack of internal controls (questionable PD, financial management, no AR, etc)</t>
        </is>
      </c>
    </row>
    <row r="32">
      <c r="B32" t="inlineStr">
        <is>
          <t>Conditions</t>
        </is>
      </c>
    </row>
    <row r="33">
      <c r="A33" s="52" t="inlineStr">
        <is>
          <t>A</t>
        </is>
      </c>
      <c r="B33" t="inlineStr">
        <is>
          <t>Conditions met/no conditions</t>
        </is>
      </c>
    </row>
    <row r="34">
      <c r="A34" s="53" t="inlineStr">
        <is>
          <t>B</t>
        </is>
      </c>
      <c r="B34" t="inlineStr">
        <is>
          <t>Conditions met/no conditions</t>
        </is>
      </c>
    </row>
    <row r="35">
      <c r="A35" s="54" t="inlineStr">
        <is>
          <t>C</t>
        </is>
      </c>
      <c r="B35" t="inlineStr">
        <is>
          <t>Conditions not met but working towards</t>
        </is>
      </c>
    </row>
    <row r="36">
      <c r="A36" s="55" t="inlineStr">
        <is>
          <t>F</t>
        </is>
      </c>
      <c r="B36" t="inlineStr">
        <is>
          <t>Conditions not met in timely fashion</t>
        </is>
      </c>
    </row>
    <row r="39">
      <c r="A39" s="56" t="inlineStr">
        <is>
          <t>GPRA MEASURES</t>
        </is>
      </c>
    </row>
    <row r="40">
      <c r="A40" t="inlineStr">
        <is>
          <t>1= YES</t>
        </is>
      </c>
      <c r="B40" s="57" t="inlineStr">
        <is>
          <t>GPRA 1: HIRED</t>
        </is>
      </c>
    </row>
    <row r="41">
      <c r="A41" t="inlineStr">
        <is>
          <t>0= NO</t>
        </is>
      </c>
      <c r="B41" s="58" t="inlineStr">
        <is>
          <t>Y1: 20-25% of target</t>
        </is>
      </c>
    </row>
    <row r="42">
      <c r="B42" s="59" t="inlineStr">
        <is>
          <t>Y2: 25-50% of target</t>
        </is>
      </c>
    </row>
    <row r="43">
      <c r="B43" s="59" t="inlineStr">
        <is>
          <t>Y3: 50-70% of target</t>
        </is>
      </c>
    </row>
    <row r="44">
      <c r="B44" s="59" t="inlineStr">
        <is>
          <t>Y4: 70-90% of target</t>
        </is>
      </c>
    </row>
    <row r="45">
      <c r="B45" s="59" t="inlineStr">
        <is>
          <t>Y5: 90-100% of target</t>
        </is>
      </c>
    </row>
    <row r="47">
      <c r="B47" s="60" t="inlineStr">
        <is>
          <t xml:space="preserve"> GPRA 2: Retained</t>
        </is>
      </c>
    </row>
    <row r="48">
      <c r="B48" t="inlineStr">
        <is>
          <t>Y1: 20-25% of target</t>
        </is>
      </c>
    </row>
    <row r="49">
      <c r="B49" s="61" t="inlineStr">
        <is>
          <t>Y2: 25-50% of target</t>
        </is>
      </c>
    </row>
    <row r="50">
      <c r="B50" s="61" t="inlineStr">
        <is>
          <t>Y3: 50-70% of target</t>
        </is>
      </c>
    </row>
    <row r="51">
      <c r="B51" s="61" t="inlineStr">
        <is>
          <t>Y4: 70-90% of target</t>
        </is>
      </c>
    </row>
    <row r="52">
      <c r="B52" s="61" t="inlineStr">
        <is>
          <t>Y5: 90-100% of target</t>
        </is>
      </c>
    </row>
    <row r="54">
      <c r="B54" s="60" t="inlineStr">
        <is>
          <t>GPRA 3: Ratio</t>
        </is>
      </c>
    </row>
    <row r="55">
      <c r="B55" s="61" t="inlineStr">
        <is>
          <t>Y1: Ratio is improving</t>
        </is>
      </c>
    </row>
    <row r="56">
      <c r="B56" s="61" t="inlineStr">
        <is>
          <t>Y2: Ratio improved or stable</t>
        </is>
      </c>
    </row>
    <row r="57">
      <c r="B57" s="61" t="inlineStr">
        <is>
          <t>Y3: Ratio improved or stable</t>
        </is>
      </c>
    </row>
    <row r="58">
      <c r="B58" s="61" t="inlineStr">
        <is>
          <t>Y4: Ratio improved or stable</t>
        </is>
      </c>
    </row>
    <row r="59">
      <c r="B59" s="61" t="inlineStr">
        <is>
          <t>Y5: Ratio improved or stable</t>
        </is>
      </c>
    </row>
    <row r="61">
      <c r="B61" s="62" t="inlineStr">
        <is>
          <t>GPRA 4: Attrition</t>
        </is>
      </c>
    </row>
    <row r="62">
      <c r="B62" t="inlineStr">
        <is>
          <t>Y1: 10% of target</t>
        </is>
      </c>
    </row>
    <row r="63">
      <c r="B63" t="inlineStr">
        <is>
          <t>Y2: 11-25% of target</t>
        </is>
      </c>
    </row>
    <row r="64">
      <c r="B64" t="inlineStr">
        <is>
          <t>Y3: 26-50% of target</t>
        </is>
      </c>
    </row>
    <row r="65">
      <c r="B65" t="inlineStr">
        <is>
          <t>Y4: 51-75% of target</t>
        </is>
      </c>
    </row>
    <row r="66">
      <c r="B66" t="inlineStr">
        <is>
          <t>Y5: 76-100% of target</t>
        </is>
      </c>
    </row>
    <row r="68">
      <c r="B68" s="62" t="inlineStr">
        <is>
          <t>GPRA 5: Students Served</t>
        </is>
      </c>
    </row>
    <row r="69">
      <c r="B69" t="inlineStr">
        <is>
          <t>Y1: Serving students</t>
        </is>
      </c>
    </row>
    <row r="70">
      <c r="B70" t="inlineStr">
        <is>
          <t>Y2: Number increased or stable</t>
        </is>
      </c>
    </row>
    <row r="71">
      <c r="B71" t="inlineStr">
        <is>
          <t>Y3: Number increased or stable</t>
        </is>
      </c>
    </row>
    <row r="72">
      <c r="B72" t="inlineStr">
        <is>
          <t>Y4: Number increased or stable</t>
        </is>
      </c>
    </row>
    <row r="73">
      <c r="B73" t="inlineStr">
        <is>
          <t>Y5: Number increased or stable</t>
        </is>
      </c>
    </row>
  </sheetData>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N29"/>
  <sheetViews>
    <sheetView topLeftCell="A8" workbookViewId="0">
      <selection activeCell="C31" sqref="C31"/>
    </sheetView>
  </sheetViews>
  <sheetFormatPr baseColWidth="8" defaultRowHeight="14.5"/>
  <cols>
    <col width="42.453125" customWidth="1" style="47" min="1" max="1"/>
  </cols>
  <sheetData>
    <row r="1">
      <c r="A1" s="1" t="inlineStr">
        <is>
          <t>Measure</t>
        </is>
      </c>
      <c r="B1" s="2" t="inlineStr">
        <is>
          <t>EXAMPLE</t>
        </is>
      </c>
      <c r="C1" s="2" t="n"/>
      <c r="D1" s="3" t="inlineStr">
        <is>
          <t>Y1</t>
        </is>
      </c>
      <c r="E1" s="4" t="n"/>
      <c r="F1" s="5" t="inlineStr">
        <is>
          <t>Y2</t>
        </is>
      </c>
      <c r="G1" s="4" t="n"/>
      <c r="H1" s="5" t="inlineStr">
        <is>
          <t>Y3</t>
        </is>
      </c>
      <c r="I1" s="4" t="n"/>
      <c r="J1" s="5" t="inlineStr">
        <is>
          <t>Y4</t>
        </is>
      </c>
      <c r="K1" s="4" t="n"/>
      <c r="L1" s="5" t="inlineStr">
        <is>
          <t>Y5</t>
        </is>
      </c>
      <c r="M1" s="6" t="n"/>
      <c r="N1" s="5" t="inlineStr">
        <is>
          <t>Notes</t>
        </is>
      </c>
    </row>
    <row r="2">
      <c r="A2" s="1" t="inlineStr">
        <is>
          <t>ADMINISTRATIVE FACTORS</t>
        </is>
      </c>
      <c r="B2" s="2" t="n"/>
      <c r="C2" s="2" t="n"/>
      <c r="D2" s="7" t="n"/>
      <c r="E2" s="8" t="n"/>
      <c r="F2" s="7" t="n"/>
      <c r="G2" s="8" t="n"/>
      <c r="H2" s="7" t="n"/>
      <c r="I2" s="8" t="n"/>
      <c r="J2" s="7" t="n"/>
      <c r="K2" s="8" t="n"/>
      <c r="L2" s="7" t="n"/>
      <c r="M2" s="6" t="n"/>
      <c r="N2" s="7" t="n"/>
    </row>
    <row r="3">
      <c r="A3" s="9" t="inlineStr">
        <is>
          <t>Financial, LAB &gt;70%</t>
        </is>
      </c>
      <c r="B3" s="10" t="inlineStr">
        <is>
          <t>A</t>
        </is>
      </c>
      <c r="C3" s="11">
        <f>IF(B3="A",1,IF(B3="B",0.75,IF(B3="C",0.5,IF(B3="F",0))))</f>
        <v/>
      </c>
      <c r="D3" s="12" t="n"/>
      <c r="E3" s="6">
        <f>IF(D3="A",1,IF(D3="B",0.75,IF(D3="C",0.5,IF(D3="F",0))))</f>
        <v/>
      </c>
      <c r="F3" s="12" t="n"/>
      <c r="G3" s="6">
        <f>IF(F3="A",1,IF(F3="B",0.75,IF(F3="C",0.5,IF(F3="F",0))))</f>
        <v/>
      </c>
      <c r="H3" s="12" t="n"/>
      <c r="I3" s="6">
        <f>IF(H3="A",1,IF(H3="B",0.75,IF(H3="C",0.5,IF(H3="F",0))))</f>
        <v/>
      </c>
      <c r="J3" s="12" t="n"/>
      <c r="K3" s="6">
        <f>IF(J3="A",1,IF(J3="B",0.75,IF(J3="C",0.5,IF(J3="F",0))))</f>
        <v/>
      </c>
      <c r="L3" s="12" t="n"/>
      <c r="M3" s="6">
        <f>IF(L3="A",1,IF(L3="B",0.75,IF(L3="C",0.5,IF(L3="F",0))))</f>
        <v/>
      </c>
    </row>
    <row r="4">
      <c r="B4" s="2" t="n"/>
      <c r="C4" s="11" t="n"/>
      <c r="E4" s="6" t="n"/>
      <c r="G4" s="6" t="n"/>
      <c r="I4" s="6" t="n"/>
      <c r="K4" s="6" t="n"/>
      <c r="M4" s="6" t="n"/>
    </row>
    <row r="5">
      <c r="A5" s="9" t="inlineStr">
        <is>
          <t>Financial, Excessive Drawdowns</t>
        </is>
      </c>
      <c r="B5" s="10" t="inlineStr">
        <is>
          <t>F</t>
        </is>
      </c>
      <c r="C5" s="11">
        <f>IF(B5="A",1,IF(B5="B",0.75,IF(B5="C",0.5,IF(B5="F",0))))</f>
        <v/>
      </c>
      <c r="D5" s="12" t="n"/>
      <c r="E5" s="6">
        <f>IF(D5="A",1,IF(D5="B",0.75,IF(D5="C",0.5,IF(D5="F",0))))</f>
        <v/>
      </c>
      <c r="F5" s="12" t="n"/>
      <c r="G5" s="6">
        <f>IF(F5="A",1,IF(F5="B",0.75,IF(F5="C",0.5,IF(F5="F",0))))</f>
        <v/>
      </c>
      <c r="H5" s="12" t="n"/>
      <c r="I5" s="6">
        <f>IF(H5="A",1,IF(H5="B",0.75,IF(H5="C",0.5,IF(H5="F",0))))</f>
        <v/>
      </c>
      <c r="J5" s="12" t="n"/>
      <c r="K5" s="6">
        <f>IF(J5="A",1,IF(J5="B",0.75,IF(J5="C",0.5,IF(J5="F",0))))</f>
        <v/>
      </c>
      <c r="L5" s="12" t="n"/>
      <c r="M5" s="6">
        <f>IF(L5="A",1,IF(L5="B",0.75,IF(L5="C",0.5,IF(L5="F",0))))</f>
        <v/>
      </c>
    </row>
    <row r="6">
      <c r="B6" s="2" t="n"/>
      <c r="C6" s="11" t="n"/>
      <c r="E6" s="6" t="n"/>
      <c r="G6" s="6" t="n"/>
      <c r="I6" s="6" t="n"/>
      <c r="K6" s="6" t="n"/>
      <c r="M6" s="6" t="n"/>
    </row>
    <row r="7">
      <c r="A7" s="9" t="inlineStr">
        <is>
          <t>Performance, PD changes or staffing turnover</t>
        </is>
      </c>
      <c r="B7" s="10" t="inlineStr">
        <is>
          <t>A</t>
        </is>
      </c>
      <c r="C7" s="11">
        <f>IF(B7="A",1,IF(B7="B",0.75,IF(B7="C",0.5,IF(B7="F",0))))</f>
        <v/>
      </c>
      <c r="D7" s="12" t="n"/>
      <c r="E7" s="6">
        <f>IF(D7="A",1,IF(D7="B",0.75,IF(D7="C",0.5,IF(D7="F",0))))</f>
        <v/>
      </c>
      <c r="F7" s="12" t="n"/>
      <c r="G7" s="6">
        <f>IF(F7="A",1,IF(F7="B",0.75,IF(F7="C",0.5,IF(F7="F",0))))</f>
        <v/>
      </c>
      <c r="H7" s="12" t="n"/>
      <c r="I7" s="6">
        <f>IF(H7="A",1,IF(H7="B",0.75,IF(H7="C",0.5,IF(H7="F",0))))</f>
        <v/>
      </c>
      <c r="J7" s="12" t="n"/>
      <c r="K7" s="6">
        <f>IF(J7="A",1,IF(J7="B",0.75,IF(J7="C",0.5,IF(J7="F",0))))</f>
        <v/>
      </c>
      <c r="L7" s="12" t="n"/>
      <c r="M7" s="6">
        <f>IF(L7="A",1,IF(L7="B",0.75,IF(L7="C",0.5,IF(L7="F",0))))</f>
        <v/>
      </c>
    </row>
    <row r="8">
      <c r="B8" s="2" t="n"/>
      <c r="C8" s="11" t="n"/>
      <c r="E8" s="6" t="n"/>
      <c r="G8" s="6" t="n"/>
      <c r="I8" s="6" t="n"/>
      <c r="K8" s="6" t="n"/>
      <c r="M8" s="6" t="n"/>
    </row>
    <row r="9">
      <c r="A9" s="9" t="inlineStr">
        <is>
          <t>Performance, other</t>
        </is>
      </c>
      <c r="B9" s="10" t="inlineStr">
        <is>
          <t>B</t>
        </is>
      </c>
      <c r="C9" s="11">
        <f>IF(B9="A",1,IF(B9="B",0.75,IF(B9="C",0.5,IF(B9="F",0))))</f>
        <v/>
      </c>
      <c r="D9" s="12" t="n"/>
      <c r="E9" s="6">
        <f>IF(D9="A",1,IF(D9="B",0.75,IF(D9="C",0.5,IF(D9="F",0))))</f>
        <v/>
      </c>
      <c r="F9" s="12" t="n"/>
      <c r="G9" s="6">
        <f>IF(F9="A",1,IF(F9="B",0.75,IF(F9="C",0.5,IF(F9="F",0))))</f>
        <v/>
      </c>
      <c r="H9" s="12" t="n"/>
      <c r="I9" s="6">
        <f>IF(H9="A",1,IF(H9="B",0.75,IF(H9="C",0.5,IF(H9="F",0))))</f>
        <v/>
      </c>
      <c r="J9" s="12" t="n"/>
      <c r="K9" s="6">
        <f>IF(J9="A",1,IF(J9="B",0.75,IF(J9="C",0.5,IF(J9="F",0))))</f>
        <v/>
      </c>
      <c r="L9" s="12" t="n"/>
      <c r="M9" s="6">
        <f>IF(L9="A",1,IF(L9="B",0.75,IF(L9="C",0.5,IF(L9="F",0))))</f>
        <v/>
      </c>
    </row>
    <row r="10">
      <c r="B10" s="2" t="n"/>
      <c r="C10" s="11" t="n"/>
      <c r="E10" s="6" t="n"/>
      <c r="G10" s="6" t="n"/>
      <c r="I10" s="6" t="n"/>
      <c r="K10" s="6" t="n"/>
      <c r="M10" s="6" t="n"/>
    </row>
    <row r="11" ht="29" customHeight="1" s="47">
      <c r="A11" s="13" t="inlineStr">
        <is>
          <t>Internal controls (could include financial adjustments, lack of drawdowns)</t>
        </is>
      </c>
      <c r="B11" s="10" t="inlineStr">
        <is>
          <t>C</t>
        </is>
      </c>
      <c r="C11" s="11">
        <f>IF(B11="A",1,IF(B11="B",0.75,IF(B11="C",0.5,IF(B11="F",0))))</f>
        <v/>
      </c>
      <c r="D11" s="12" t="n"/>
      <c r="E11" s="6">
        <f>IF(D11="A",1,IF(D11="B",0.75,IF(D11="C",0.5,IF(D11="F",0))))</f>
        <v/>
      </c>
      <c r="F11" s="12" t="n"/>
      <c r="G11" s="6">
        <f>IF(F11="A",1,IF(F11="B",0.75,IF(F11="C",0.5,IF(F11="F",0))))</f>
        <v/>
      </c>
      <c r="H11" s="12" t="n"/>
      <c r="I11" s="6">
        <f>IF(H11="A",1,IF(H11="B",0.75,IF(H11="C",0.5,IF(H11="F",0))))</f>
        <v/>
      </c>
      <c r="J11" s="12" t="n"/>
      <c r="K11" s="6">
        <f>IF(J11="A",1,IF(J11="B",0.75,IF(J11="C",0.5,IF(J11="F",0))))</f>
        <v/>
      </c>
      <c r="L11" s="12" t="n"/>
      <c r="M11" s="6">
        <f>IF(L11="A",1,IF(L11="B",0.75,IF(L11="C",0.5,IF(L11="F",0))))</f>
        <v/>
      </c>
    </row>
    <row r="12">
      <c r="B12" s="2" t="n"/>
      <c r="C12" s="11" t="n"/>
      <c r="E12" s="6" t="n"/>
      <c r="G12" s="6" t="n"/>
      <c r="I12" s="6" t="n"/>
      <c r="K12" s="6" t="n"/>
      <c r="M12" s="6" t="n"/>
    </row>
    <row r="13">
      <c r="A13" t="inlineStr">
        <is>
          <t>Conditions</t>
        </is>
      </c>
      <c r="B13" s="10" t="inlineStr">
        <is>
          <t>A</t>
        </is>
      </c>
      <c r="C13" s="11">
        <f>IF(B13="A",1,IF(B13="B",0.75,IF(B13="C",0.5,IF(B13="F",0))))</f>
        <v/>
      </c>
      <c r="D13" s="12" t="n"/>
      <c r="E13" s="6">
        <f>IF(D13="A",1,IF(D13="B",0.75,IF(D13="C",0.5,IF(D13="F",0))))</f>
        <v/>
      </c>
      <c r="F13" s="12" t="n"/>
      <c r="G13" s="6">
        <f>IF(F13="A",1,IF(F13="B",0.75,IF(F13="C",0.5,IF(F13="F",0))))</f>
        <v/>
      </c>
      <c r="H13" s="12" t="n"/>
      <c r="I13" s="6">
        <f>IF(H13="A",1,IF(H13="B",0.75,IF(H13="C",0.5,IF(H13="F",0))))</f>
        <v/>
      </c>
      <c r="J13" s="12" t="n"/>
      <c r="K13" s="6">
        <f>IF(J13="A",1,IF(J13="B",0.75,IF(J13="C",0.5,IF(J13="F",0))))</f>
        <v/>
      </c>
      <c r="L13" s="12" t="n"/>
      <c r="M13" s="6">
        <f>IF(L13="A",1,IF(L13="B",0.75,IF(L13="C",0.5,IF(L13="F",0))))</f>
        <v/>
      </c>
    </row>
    <row r="14">
      <c r="E14" s="6" t="n"/>
      <c r="G14" s="6" t="n"/>
      <c r="I14" s="6" t="n"/>
      <c r="K14" s="6" t="n"/>
      <c r="M14" s="6" t="n"/>
    </row>
    <row r="15">
      <c r="A15" s="14" t="inlineStr">
        <is>
          <t>TOTAL SCORE ADMINISTRATIVE</t>
        </is>
      </c>
      <c r="B15" s="14" t="n"/>
      <c r="C15" s="15">
        <f>SUM(C3*0.1, C5*0.1, C7*0.1, C9*0.5,C11*0.1,C13*0.1)</f>
        <v/>
      </c>
      <c r="D15" s="15" t="n"/>
      <c r="E15" s="15">
        <f>SUM(E3*0.1, E5*0.1, E7*0.1, E9*0.55,E11*0.1,E13*0.05)</f>
        <v/>
      </c>
      <c r="F15" s="15" t="n"/>
      <c r="G15" s="15">
        <f>SUM(G3*0.1, G5*0.1, G7*0.1, G9*0.55,G11*0.1,G13*0.05)</f>
        <v/>
      </c>
      <c r="H15" s="15" t="n"/>
      <c r="I15" s="15">
        <f>SUM(I3*0.1, I5*0.1, I7*0.1, I9*0.55,I11*0.1,I13*0.05)</f>
        <v/>
      </c>
      <c r="J15" s="15" t="n"/>
      <c r="K15" s="15">
        <f>SUM(K3*0.1, K5*0.1, K7*0.1, K9*0.55,K11*0.1,K13*0.05)</f>
        <v/>
      </c>
      <c r="L15" s="15" t="n"/>
      <c r="M15" s="15">
        <f>SUM(M3*0.2, M5*0.1, M7*0.1, M9*0.55,M11*0.05)</f>
        <v/>
      </c>
    </row>
    <row r="16">
      <c r="A16" s="1" t="n"/>
      <c r="B16" s="1" t="n"/>
      <c r="C16" s="1" t="n"/>
      <c r="D16" s="1" t="n"/>
      <c r="E16" s="16" t="n"/>
      <c r="F16" s="1" t="n"/>
      <c r="G16" s="16" t="n"/>
      <c r="H16" s="1" t="n"/>
      <c r="I16" s="16" t="n"/>
      <c r="J16" s="1" t="n"/>
      <c r="K16" s="16" t="n"/>
      <c r="L16" s="1" t="n"/>
      <c r="M16" s="16" t="n"/>
    </row>
    <row r="17">
      <c r="A17" s="1" t="inlineStr">
        <is>
          <t>GPRA MEASURES</t>
        </is>
      </c>
      <c r="E17" s="6" t="n"/>
      <c r="G17" s="6" t="n"/>
      <c r="I17" s="6" t="n"/>
      <c r="K17" s="6" t="n"/>
      <c r="M17" s="6" t="n"/>
    </row>
    <row r="18">
      <c r="A18" s="17" t="inlineStr">
        <is>
          <t>GPRA 1: Hired</t>
        </is>
      </c>
      <c r="B18" s="2" t="n"/>
      <c r="C18" s="18" t="n"/>
      <c r="D18" s="18" t="n"/>
      <c r="E18" s="19" t="n"/>
      <c r="F18" s="20" t="n"/>
      <c r="G18" s="19" t="n"/>
      <c r="H18" s="20" t="n"/>
      <c r="I18" s="19" t="n"/>
      <c r="J18" s="20" t="n"/>
      <c r="K18" s="19" t="n"/>
      <c r="L18" s="20" t="n"/>
      <c r="M18" s="19" t="n"/>
    </row>
    <row r="19">
      <c r="A19" s="21" t="inlineStr">
        <is>
          <t>GPRA 2: Retained</t>
        </is>
      </c>
      <c r="B19" s="22" t="n"/>
      <c r="C19" s="18" t="n"/>
      <c r="D19" s="18" t="n"/>
      <c r="E19" s="23" t="n"/>
      <c r="F19" s="24" t="n"/>
      <c r="G19" s="23" t="n"/>
      <c r="H19" s="24" t="n"/>
      <c r="I19" s="23" t="n"/>
      <c r="J19" s="24" t="n"/>
      <c r="K19" s="23" t="n"/>
      <c r="L19" s="24" t="n"/>
      <c r="M19" s="23" t="n"/>
    </row>
    <row r="20">
      <c r="A20" t="inlineStr">
        <is>
          <t>GPRA 3: Ratio</t>
        </is>
      </c>
      <c r="B20" s="22" t="n"/>
      <c r="C20" s="18" t="n"/>
      <c r="D20" s="18" t="n"/>
      <c r="E20" s="23" t="n"/>
      <c r="F20" s="24" t="n"/>
      <c r="G20" s="23" t="n"/>
      <c r="H20" s="24" t="n"/>
      <c r="I20" s="23" t="n"/>
      <c r="J20" s="24" t="n"/>
      <c r="K20" s="23" t="n"/>
      <c r="L20" s="24" t="n"/>
      <c r="M20" s="23" t="n"/>
    </row>
    <row r="21">
      <c r="A21" s="18" t="inlineStr">
        <is>
          <t>GPRA 4: Attrition</t>
        </is>
      </c>
      <c r="B21" s="22" t="n"/>
      <c r="C21" s="18" t="n"/>
      <c r="D21" s="18" t="n"/>
      <c r="E21" s="23" t="n"/>
      <c r="F21" s="24" t="n"/>
      <c r="G21" s="23" t="n"/>
      <c r="H21" s="24" t="n"/>
      <c r="I21" s="23" t="n"/>
      <c r="J21" s="24" t="n"/>
      <c r="K21" s="23" t="n"/>
      <c r="L21" s="24" t="n"/>
      <c r="M21" s="23" t="n"/>
    </row>
    <row r="22">
      <c r="A22" s="25" t="inlineStr">
        <is>
          <t>GPRA 5: Students Served</t>
        </is>
      </c>
      <c r="B22" s="12" t="n"/>
      <c r="C22" s="18" t="n"/>
      <c r="D22" s="18" t="n"/>
      <c r="E22" s="26" t="n"/>
      <c r="F22" s="24" t="n"/>
      <c r="G22" s="26" t="n"/>
      <c r="H22" s="24" t="n"/>
      <c r="I22" s="26" t="n"/>
      <c r="J22" s="24" t="n"/>
      <c r="K22" s="26" t="n"/>
      <c r="L22" s="24" t="n"/>
      <c r="M22" s="26" t="n"/>
    </row>
    <row r="23">
      <c r="A23" s="15" t="inlineStr">
        <is>
          <t>TOTAL SCORE GPRA</t>
        </is>
      </c>
      <c r="B23" s="15">
        <f>SUM(B18*0.4, B19*0.2, B20*0.1, B21*0.2, B22*0.1)</f>
        <v/>
      </c>
      <c r="C23" s="15" t="n"/>
      <c r="D23" s="15" t="n"/>
      <c r="E23" s="15">
        <f>-SUM(E18*0.4, E19*0.2, E20*0.1, E21*0.2, E22*0.1)</f>
        <v/>
      </c>
      <c r="F23" s="15" t="n"/>
      <c r="G23" s="15">
        <f>-SUM(G18*0.4, G19*0.2, G20*0.1, G21*0.2, G22*0.1)</f>
        <v/>
      </c>
      <c r="H23" s="15" t="n"/>
      <c r="I23" s="15">
        <f>-SUM(I18*0.4, I19*0.2, I20*0.1, I21*0.2, I22*0.1)</f>
        <v/>
      </c>
      <c r="J23" s="15" t="n"/>
      <c r="K23" s="15">
        <f>-SUM(K18*0.4, K19*0.2, K20*0.1, K21*0.2, K22*0.1)</f>
        <v/>
      </c>
      <c r="L23" s="15" t="n"/>
      <c r="M23" s="15">
        <f>-SUM(M18*0.4, M19*0.2, M20*0.1, M21*0.2, M22*0.1)</f>
        <v/>
      </c>
    </row>
    <row r="24">
      <c r="E24" s="6" t="n"/>
      <c r="G24" s="6" t="n"/>
      <c r="I24" s="6" t="n"/>
      <c r="K24" s="6" t="n"/>
      <c r="M24" s="6" t="n"/>
    </row>
    <row r="25">
      <c r="E25" s="6" t="n"/>
      <c r="G25" s="6" t="n"/>
      <c r="I25" s="6" t="n"/>
      <c r="K25" s="6" t="n"/>
      <c r="M25" s="6" t="n"/>
    </row>
    <row r="26">
      <c r="A26" s="27" t="inlineStr">
        <is>
          <t>TOTAL SCORES</t>
        </is>
      </c>
      <c r="B26" s="27" t="n"/>
      <c r="C26" s="28">
        <f>SUM(C15*0.6, B23*0.4)</f>
        <v/>
      </c>
      <c r="D26" s="27" t="n"/>
      <c r="E26" s="28">
        <f>SUM(E15*0.6, E23*0.4)</f>
        <v/>
      </c>
      <c r="F26" s="28" t="n"/>
      <c r="G26" s="28">
        <f>SUM(G15*0.6, G23*0.4)</f>
        <v/>
      </c>
      <c r="H26" s="28" t="n"/>
      <c r="I26" s="28">
        <f>SUM(I15*0.5, I23*0.5)</f>
        <v/>
      </c>
      <c r="J26" s="28" t="n"/>
      <c r="K26" s="28">
        <f>SUM(K15*0.4, K23*0.6)</f>
        <v/>
      </c>
      <c r="L26" s="28" t="n"/>
      <c r="M26" s="28">
        <f>SUM(M15*0.3, M23*0.7)</f>
        <v/>
      </c>
    </row>
    <row r="27">
      <c r="E27" s="6" t="n"/>
      <c r="G27" s="6" t="n"/>
      <c r="I27" s="6" t="n"/>
      <c r="K27" s="6" t="n"/>
      <c r="M27" s="6" t="n"/>
    </row>
    <row r="28">
      <c r="E28" s="6" t="n"/>
      <c r="G28" s="6" t="n"/>
      <c r="I28" s="6" t="n"/>
      <c r="K28" s="6" t="n"/>
      <c r="M28" s="6" t="n"/>
    </row>
    <row r="29">
      <c r="E29" s="6" t="n"/>
      <c r="G29" s="6" t="n"/>
      <c r="I29" s="6" t="n"/>
      <c r="K29" s="6" t="n"/>
      <c r="M29" s="6"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N30"/>
  <sheetViews>
    <sheetView workbookViewId="0">
      <pane ySplit="1" topLeftCell="A19" activePane="bottomLeft" state="frozen"/>
      <selection pane="bottomLeft" activeCell="B14" sqref="B14"/>
    </sheetView>
  </sheetViews>
  <sheetFormatPr baseColWidth="8" defaultRowHeight="14.5"/>
  <cols>
    <col width="50.7265625" customWidth="1" style="47" min="1" max="1"/>
    <col width="7.81640625" customWidth="1" style="47" min="2" max="2"/>
    <col width="9.1796875" customWidth="1" style="47" min="3" max="3"/>
    <col width="8.1796875" customWidth="1" style="47" min="4" max="4"/>
    <col width="7.54296875" customWidth="1" style="6" min="5" max="5"/>
    <col width="7.81640625" customWidth="1" style="47" min="6" max="6"/>
    <col width="6.453125" customWidth="1" style="6" min="7" max="7"/>
    <col width="7.81640625" customWidth="1" style="47" min="8" max="8"/>
    <col width="8.81640625" customWidth="1" style="6" min="9" max="9"/>
    <col width="8.7265625" customWidth="1" style="6" min="11" max="11"/>
    <col width="8.7265625" customWidth="1" style="6" min="13" max="13"/>
    <col width="59.7265625" customWidth="1" style="47" min="14" max="14"/>
  </cols>
  <sheetData>
    <row r="1">
      <c r="A1" s="1" t="inlineStr">
        <is>
          <t>Measure</t>
        </is>
      </c>
      <c r="B1" s="2" t="inlineStr">
        <is>
          <t>EXAMPLE</t>
        </is>
      </c>
      <c r="C1" s="2" t="n"/>
      <c r="D1" s="3" t="inlineStr">
        <is>
          <t>Y1</t>
        </is>
      </c>
      <c r="E1" s="4" t="n"/>
      <c r="F1" s="5" t="inlineStr">
        <is>
          <t>Y2</t>
        </is>
      </c>
      <c r="G1" s="4" t="n"/>
      <c r="H1" s="5" t="inlineStr">
        <is>
          <t>Y3</t>
        </is>
      </c>
      <c r="I1" s="4" t="n"/>
      <c r="J1" s="5" t="inlineStr">
        <is>
          <t>Y4</t>
        </is>
      </c>
      <c r="K1" s="4" t="n"/>
      <c r="L1" s="5" t="inlineStr">
        <is>
          <t>Y5</t>
        </is>
      </c>
      <c r="N1" s="5" t="inlineStr">
        <is>
          <t>Notes</t>
        </is>
      </c>
    </row>
    <row r="2">
      <c r="A2" s="1" t="inlineStr">
        <is>
          <t>ADMINISTRATIVE FACTORS</t>
        </is>
      </c>
      <c r="B2" s="2" t="n"/>
      <c r="C2" s="2" t="n"/>
      <c r="D2" s="7" t="n"/>
      <c r="E2" s="8" t="n"/>
      <c r="F2" s="7" t="n"/>
      <c r="G2" s="8" t="n"/>
      <c r="H2" s="7" t="n"/>
      <c r="I2" s="8" t="n"/>
      <c r="J2" s="7" t="n"/>
      <c r="K2" s="8" t="n"/>
      <c r="L2" s="7" t="n"/>
      <c r="N2" s="7" t="n"/>
    </row>
    <row r="3">
      <c r="A3" s="9" t="inlineStr">
        <is>
          <t>Financial, LAB &gt;70%</t>
        </is>
      </c>
      <c r="B3" s="10" t="inlineStr">
        <is>
          <t>A</t>
        </is>
      </c>
      <c r="C3" s="11">
        <f>IF(B3="A",1,IF(B3="B",0.75,IF(B3="C",0.5,IF(B3="F",0))))</f>
        <v/>
      </c>
      <c r="D3" s="12" t="n"/>
      <c r="E3" s="6">
        <f>IF(D3="A",1,IF(D3="B",0.75,IF(D3="C",0.5,IF(D3="F",0))))</f>
        <v/>
      </c>
      <c r="F3" s="12" t="n"/>
      <c r="G3" s="6">
        <f>IF(F3="A",1,IF(F3="B",0.75,IF(F3="C",0.5,IF(F3="F",0))))</f>
        <v/>
      </c>
      <c r="H3" s="12" t="n"/>
      <c r="I3" s="6">
        <f>IF(H3="A",1,IF(H3="B",0.75,IF(H3="C",0.5,IF(H3="F",0))))</f>
        <v/>
      </c>
      <c r="J3" s="12" t="n"/>
      <c r="K3" s="6">
        <f>IF(J3="A",1,IF(J3="B",0.75,IF(J3="C",0.5,IF(J3="F",0))))</f>
        <v/>
      </c>
      <c r="L3" s="12" t="n"/>
      <c r="M3" s="6">
        <f>IF(L3="A",1,IF(L3="B",0.75,IF(L3="C",0.5,IF(L3="F",0))))</f>
        <v/>
      </c>
    </row>
    <row r="4">
      <c r="B4" s="2" t="n"/>
      <c r="C4" s="11" t="n"/>
    </row>
    <row r="5">
      <c r="A5" s="9" t="inlineStr">
        <is>
          <t>Financial, Excessive Drawdowns</t>
        </is>
      </c>
      <c r="B5" s="10" t="inlineStr">
        <is>
          <t>F</t>
        </is>
      </c>
      <c r="C5" s="11">
        <f>IF(B5="A",1,IF(B5="B",0.75,IF(B5="C",0.5,IF(B5="F",0))))</f>
        <v/>
      </c>
      <c r="D5" s="12" t="n"/>
      <c r="E5" s="6">
        <f>IF(D5="A",1,IF(D5="B",0.75,IF(D5="C",0.5,IF(D5="F",0))))</f>
        <v/>
      </c>
      <c r="F5" s="12" t="n"/>
      <c r="G5" s="6">
        <f>IF(F5="A",1,IF(F5="B",0.75,IF(F5="C",0.5,IF(F5="F",0))))</f>
        <v/>
      </c>
      <c r="H5" s="12" t="n"/>
      <c r="I5" s="6">
        <f>IF(H5="A",1,IF(H5="B",0.75,IF(H5="C",0.5,IF(H5="F",0))))</f>
        <v/>
      </c>
      <c r="J5" s="12" t="n"/>
      <c r="K5" s="6">
        <f>IF(J5="A",1,IF(J5="B",0.75,IF(J5="C",0.5,IF(J5="F",0))))</f>
        <v/>
      </c>
      <c r="L5" s="12" t="n"/>
      <c r="M5" s="6">
        <f>IF(L5="A",1,IF(L5="B",0.75,IF(L5="C",0.5,IF(L5="F",0))))</f>
        <v/>
      </c>
    </row>
    <row r="6">
      <c r="B6" s="2" t="n"/>
      <c r="C6" s="11" t="n"/>
    </row>
    <row r="7">
      <c r="A7" s="9" t="inlineStr">
        <is>
          <t>Performance, PD changes or staffing turnover</t>
        </is>
      </c>
      <c r="B7" s="10" t="inlineStr">
        <is>
          <t>A</t>
        </is>
      </c>
      <c r="C7" s="11">
        <f>IF(B7="A",1,IF(B7="B",0.75,IF(B7="C",0.5,IF(B7="F",0))))</f>
        <v/>
      </c>
      <c r="D7" s="12" t="n"/>
      <c r="E7" s="6">
        <f>IF(D7="A",1,IF(D7="B",0.75,IF(D7="C",0.5,IF(D7="F",0))))</f>
        <v/>
      </c>
      <c r="F7" s="12" t="n"/>
      <c r="G7" s="6">
        <f>IF(F7="A",1,IF(F7="B",0.75,IF(F7="C",0.5,IF(F7="F",0))))</f>
        <v/>
      </c>
      <c r="H7" s="12" t="n"/>
      <c r="I7" s="6">
        <f>IF(H7="A",1,IF(H7="B",0.75,IF(H7="C",0.5,IF(H7="F",0))))</f>
        <v/>
      </c>
      <c r="J7" s="12" t="n"/>
      <c r="K7" s="6">
        <f>IF(J7="A",1,IF(J7="B",0.75,IF(J7="C",0.5,IF(J7="F",0))))</f>
        <v/>
      </c>
      <c r="L7" s="12" t="n"/>
      <c r="M7" s="6">
        <f>IF(L7="A",1,IF(L7="B",0.75,IF(L7="C",0.5,IF(L7="F",0))))</f>
        <v/>
      </c>
    </row>
    <row r="8">
      <c r="B8" s="2" t="n"/>
      <c r="C8" s="11" t="n"/>
    </row>
    <row r="9">
      <c r="A9" s="9" t="inlineStr">
        <is>
          <t>Performance, other</t>
        </is>
      </c>
      <c r="B9" s="10" t="inlineStr">
        <is>
          <t>B</t>
        </is>
      </c>
      <c r="C9" s="11">
        <f>IF(B9="A",1,IF(B9="B",0.75,IF(B9="C",0.5,IF(B9="F",0))))</f>
        <v/>
      </c>
      <c r="D9" s="12" t="n"/>
      <c r="E9" s="6">
        <f>IF(D9="A",1,IF(D9="B",0.75,IF(D9="C",0.5,IF(D9="F",0))))</f>
        <v/>
      </c>
      <c r="F9" s="12" t="n"/>
      <c r="G9" s="6">
        <f>IF(F9="A",1,IF(F9="B",0.75,IF(F9="C",0.5,IF(F9="F",0))))</f>
        <v/>
      </c>
      <c r="H9" s="12" t="n"/>
      <c r="I9" s="6">
        <f>IF(H9="A",1,IF(H9="B",0.75,IF(H9="C",0.5,IF(H9="F",0))))</f>
        <v/>
      </c>
      <c r="J9" s="12" t="n"/>
      <c r="K9" s="6">
        <f>IF(J9="A",1,IF(J9="B",0.75,IF(J9="C",0.5,IF(J9="F",0))))</f>
        <v/>
      </c>
      <c r="L9" s="12" t="n"/>
      <c r="M9" s="6">
        <f>IF(L9="A",1,IF(L9="B",0.75,IF(L9="C",0.5,IF(L9="F",0))))</f>
        <v/>
      </c>
    </row>
    <row r="10">
      <c r="B10" s="2" t="n"/>
      <c r="C10" s="11" t="n"/>
    </row>
    <row r="11" ht="29" customHeight="1" s="47">
      <c r="A11" s="13" t="inlineStr">
        <is>
          <t>Internal controls (could include financial adjustments, lack of drawdowns)</t>
        </is>
      </c>
      <c r="B11" s="10" t="inlineStr">
        <is>
          <t>C</t>
        </is>
      </c>
      <c r="C11" s="11">
        <f>IF(B11="A",1,IF(B11="B",0.75,IF(B11="C",0.5,IF(B11="F",0))))</f>
        <v/>
      </c>
      <c r="D11" s="12" t="n"/>
      <c r="E11" s="6">
        <f>IF(D11="A",1,IF(D11="B",0.75,IF(D11="C",0.5,IF(D11="F",0))))</f>
        <v/>
      </c>
      <c r="F11" s="12" t="n"/>
      <c r="G11" s="6">
        <f>IF(F11="A",1,IF(F11="B",0.75,IF(F11="C",0.5,IF(F11="F",0))))</f>
        <v/>
      </c>
      <c r="H11" s="12" t="n"/>
      <c r="I11" s="6">
        <f>IF(H11="A",1,IF(H11="B",0.75,IF(H11="C",0.5,IF(H11="F",0))))</f>
        <v/>
      </c>
      <c r="J11" s="12" t="n"/>
      <c r="K11" s="6">
        <f>IF(J11="A",1,IF(J11="B",0.75,IF(J11="C",0.5,IF(J11="F",0))))</f>
        <v/>
      </c>
      <c r="L11" s="12" t="n"/>
      <c r="M11" s="6">
        <f>IF(L11="A",1,IF(L11="B",0.75,IF(L11="C",0.5,IF(L11="F",0))))</f>
        <v/>
      </c>
    </row>
    <row r="12">
      <c r="B12" s="2" t="n"/>
      <c r="C12" s="11" t="n"/>
    </row>
    <row r="13">
      <c r="A13" t="inlineStr">
        <is>
          <t>Conditions</t>
        </is>
      </c>
      <c r="B13" s="10" t="inlineStr">
        <is>
          <t>A</t>
        </is>
      </c>
      <c r="C13" s="11">
        <f>IF(B13="A",1,IF(B13="B",0.75,IF(B13="C",0.5,IF(B13="F",0))))</f>
        <v/>
      </c>
      <c r="D13" s="12" t="n"/>
      <c r="E13" s="6">
        <f>IF(D13="A",1,IF(D13="B",0.75,IF(D13="C",0.5,IF(D13="F",0))))</f>
        <v/>
      </c>
      <c r="F13" s="12" t="n"/>
      <c r="G13" s="6">
        <f>IF(F13="A",1,IF(F13="B",0.75,IF(F13="C",0.5,IF(F13="F",0))))</f>
        <v/>
      </c>
      <c r="H13" s="12" t="n"/>
      <c r="I13" s="6">
        <f>IF(H13="A",1,IF(H13="B",0.75,IF(H13="C",0.5,IF(H13="F",0))))</f>
        <v/>
      </c>
      <c r="J13" s="12" t="n"/>
      <c r="K13" s="6">
        <f>IF(J13="A",1,IF(J13="B",0.75,IF(J13="C",0.5,IF(J13="F",0))))</f>
        <v/>
      </c>
      <c r="L13" s="12" t="n"/>
      <c r="M13" s="6">
        <f>IF(L13="A",1,IF(L13="B",0.75,IF(L13="C",0.5,IF(L13="F",0))))</f>
        <v/>
      </c>
    </row>
    <row r="15">
      <c r="A15" s="14" t="inlineStr">
        <is>
          <t>TOTAL SCORE ADMINISTRATIVE</t>
        </is>
      </c>
      <c r="B15" s="14" t="n"/>
      <c r="C15" s="15">
        <f>SUM(C3*0.1, C5*0.1, C7*0.1, C9*0.5,C11*0.1,C13*0.1)</f>
        <v/>
      </c>
      <c r="D15" s="15" t="n"/>
      <c r="E15" s="15">
        <f>SUM(E3*0.1, E5*0.1, E7*0.1, E9*0.55,E11*0.1,E13*0.05)</f>
        <v/>
      </c>
      <c r="F15" s="15" t="n"/>
      <c r="G15" s="15">
        <f>SUM(G3*0.1, G5*0.1, G7*0.1, G9*0.55,G11*0.1,G13*0.05)</f>
        <v/>
      </c>
      <c r="H15" s="15" t="n"/>
      <c r="I15" s="15">
        <f>SUM(I3*0.1, I5*0.1, I7*0.1, I9*0.55,I11*0.1,I13*0.05)</f>
        <v/>
      </c>
      <c r="J15" s="15" t="n"/>
      <c r="K15" s="15">
        <f>SUM(K3*0.1, K5*0.1, K7*0.1, K9*0.55,K11*0.1,K13*0.05)</f>
        <v/>
      </c>
      <c r="L15" s="15" t="n"/>
      <c r="M15" s="15">
        <f>SUM(M3*0.2, M5*0.1, M7*0.1, M9*0.55,M11*0.05)</f>
        <v/>
      </c>
    </row>
    <row r="16">
      <c r="A16" s="1" t="n"/>
      <c r="B16" s="1" t="n"/>
      <c r="C16" s="1" t="n"/>
      <c r="D16" s="1" t="n"/>
      <c r="E16" s="16" t="n"/>
      <c r="F16" s="1" t="n"/>
      <c r="G16" s="16" t="n"/>
      <c r="H16" s="1" t="n"/>
      <c r="I16" s="16" t="n"/>
      <c r="J16" s="1" t="n"/>
      <c r="K16" s="16" t="n"/>
      <c r="L16" s="1" t="n"/>
      <c r="M16" s="16" t="n"/>
    </row>
    <row r="17">
      <c r="A17" s="1" t="inlineStr">
        <is>
          <t>GPRA MEASURES</t>
        </is>
      </c>
    </row>
    <row r="18">
      <c r="A18" s="17" t="inlineStr">
        <is>
          <t>GPRA 1: TRAINING</t>
        </is>
      </c>
      <c r="B18" s="2" t="n"/>
      <c r="C18" s="18" t="n"/>
      <c r="D18" s="18" t="n"/>
      <c r="E18" s="19" t="n"/>
      <c r="F18" s="20" t="n"/>
      <c r="G18" s="19" t="n"/>
      <c r="H18" s="20" t="n"/>
      <c r="I18" s="19" t="n"/>
      <c r="J18" s="20" t="n"/>
      <c r="K18" s="19" t="n"/>
      <c r="L18" s="20" t="n"/>
      <c r="M18" s="19" t="n"/>
    </row>
    <row r="19">
      <c r="A19" s="63" t="inlineStr">
        <is>
          <t xml:space="preserve">GPRA 1a: Training COMPLETE </t>
        </is>
      </c>
      <c r="B19" s="10" t="n">
        <v>1</v>
      </c>
      <c r="C19" s="18" t="n"/>
      <c r="D19" s="18" t="n"/>
      <c r="E19" s="26" t="n"/>
      <c r="F19" s="24" t="n"/>
      <c r="G19" s="26" t="n"/>
      <c r="H19" s="24" t="n"/>
      <c r="I19" s="26" t="n"/>
      <c r="J19" s="24" t="n"/>
      <c r="K19" s="26" t="n"/>
      <c r="L19" s="24" t="n"/>
      <c r="M19" s="26" t="n"/>
    </row>
    <row r="20" ht="16" customHeight="1" s="47">
      <c r="A20" s="63" t="inlineStr">
        <is>
          <t>GPRA 1b: Training ongoing</t>
        </is>
      </c>
      <c r="B20" s="12" t="n">
        <v>1</v>
      </c>
      <c r="C20" s="18" t="n"/>
      <c r="D20" s="18" t="n"/>
      <c r="E20" s="26" t="n"/>
      <c r="F20" s="24" t="n"/>
      <c r="G20" s="26" t="n"/>
      <c r="H20" s="24" t="n"/>
      <c r="I20" s="26" t="n"/>
      <c r="J20" s="24" t="n"/>
      <c r="K20" s="26" t="n"/>
      <c r="L20" s="24" t="n"/>
      <c r="M20" s="26" t="n"/>
    </row>
    <row r="21">
      <c r="A21" s="18" t="n"/>
      <c r="B21" s="22" t="n"/>
      <c r="C21" s="18" t="n"/>
      <c r="D21" s="18" t="n"/>
      <c r="E21" s="23" t="n"/>
      <c r="F21" s="24" t="n"/>
      <c r="G21" s="23" t="n"/>
      <c r="H21" s="24" t="n"/>
      <c r="I21" s="23" t="n"/>
      <c r="J21" s="24" t="n"/>
      <c r="K21" s="23" t="n"/>
      <c r="L21" s="24" t="n"/>
      <c r="M21" s="23" t="n"/>
    </row>
    <row r="22">
      <c r="A22" s="21" t="inlineStr">
        <is>
          <t>GPRA 2: Placement</t>
        </is>
      </c>
      <c r="B22" s="22" t="n"/>
      <c r="C22" s="18" t="n"/>
      <c r="D22" s="18" t="n"/>
      <c r="E22" s="23" t="n"/>
      <c r="F22" s="24" t="n"/>
      <c r="G22" s="23" t="n"/>
      <c r="H22" s="24" t="n"/>
      <c r="I22" s="23" t="n"/>
      <c r="J22" s="24" t="n"/>
      <c r="K22" s="23" t="n"/>
      <c r="L22" s="24" t="n"/>
      <c r="M22" s="23" t="n"/>
    </row>
    <row r="23">
      <c r="A23" s="64" t="inlineStr">
        <is>
          <t>GPRA 2a: Placement</t>
        </is>
      </c>
      <c r="B23" s="10" t="n">
        <v>1</v>
      </c>
      <c r="C23" s="18" t="n"/>
      <c r="D23" s="18" t="n"/>
      <c r="E23" s="26" t="n"/>
      <c r="F23" s="24" t="n"/>
      <c r="G23" s="26" t="n"/>
      <c r="H23" s="24" t="n"/>
      <c r="I23" s="26" t="n"/>
      <c r="J23" s="24" t="n"/>
      <c r="K23" s="26" t="n"/>
      <c r="L23" s="24" t="n"/>
      <c r="M23" s="26" t="n"/>
    </row>
    <row r="24">
      <c r="A24" s="64" t="inlineStr">
        <is>
          <t>GPRA 2b: Placed</t>
        </is>
      </c>
      <c r="B24" s="12" t="n">
        <v>1</v>
      </c>
      <c r="C24" s="18" t="n"/>
      <c r="D24" s="18" t="n"/>
      <c r="E24" s="26" t="n"/>
      <c r="F24" s="24" t="n"/>
      <c r="G24" s="26" t="n"/>
      <c r="H24" s="24" t="n"/>
      <c r="I24" s="26" t="n"/>
      <c r="J24" s="24" t="n"/>
      <c r="K24" s="26" t="n"/>
      <c r="L24" s="24" t="n"/>
      <c r="M24" s="26" t="n"/>
    </row>
    <row r="25">
      <c r="A25" s="18" t="n"/>
      <c r="B25" s="22" t="n"/>
      <c r="C25" s="18" t="n"/>
      <c r="D25" s="18" t="n"/>
      <c r="E25" s="23" t="n"/>
      <c r="F25" s="24" t="n"/>
      <c r="G25" s="23" t="n"/>
      <c r="H25" s="24" t="n"/>
      <c r="I25" s="23" t="n"/>
      <c r="J25" s="24" t="n"/>
      <c r="K25" s="23" t="n"/>
      <c r="L25" s="24" t="n"/>
      <c r="M25" s="23" t="n"/>
    </row>
    <row r="26">
      <c r="A26" s="25" t="inlineStr">
        <is>
          <t>GPRA 3: HIRED</t>
        </is>
      </c>
      <c r="B26" s="12" t="n">
        <v>1</v>
      </c>
      <c r="C26" s="18" t="n"/>
      <c r="D26" s="18" t="n"/>
      <c r="E26" s="26" t="n"/>
      <c r="F26" s="24" t="n"/>
      <c r="G26" s="26" t="n"/>
      <c r="H26" s="24" t="n"/>
      <c r="I26" s="26" t="n"/>
      <c r="J26" s="24" t="n"/>
      <c r="K26" s="26" t="n"/>
      <c r="L26" s="24" t="n"/>
      <c r="M26" s="26" t="n"/>
    </row>
    <row r="27">
      <c r="A27" s="15" t="inlineStr">
        <is>
          <t>TOTAL SCORE GPRA</t>
        </is>
      </c>
      <c r="B27" s="15">
        <f>SUM(B19*0.2, B20*0.4, B23*0.1, B24*0.1, B26*0.2)</f>
        <v/>
      </c>
      <c r="C27" s="15" t="n"/>
      <c r="D27" s="15" t="n"/>
      <c r="E27" s="15">
        <f>SUM(E19*0.2, E20*0.4, E23*0.1, E24*0.1, E26*0.2)</f>
        <v/>
      </c>
      <c r="F27" s="15" t="n"/>
      <c r="G27" s="15">
        <f>SUM(G19*0.2, G20*0.4, G23*0.1, G24*0.1, G26*0.2)</f>
        <v/>
      </c>
      <c r="H27" s="15" t="n"/>
      <c r="I27" s="15">
        <f>SUM(I19*0.3, I20*0.2, I23*0.2, I24*0.1, I26*0.2)</f>
        <v/>
      </c>
      <c r="J27" s="15" t="n"/>
      <c r="K27" s="15">
        <f>SUM(K19*0.2, K20*0.2, K23*0.2, K24*0.2, K26*0.2)</f>
        <v/>
      </c>
      <c r="L27" s="15" t="n"/>
      <c r="M27" s="15">
        <f>SUM(M19*0.1, M20*0.1, M23*0.2, M24*0.2, M26*0.4)</f>
        <v/>
      </c>
    </row>
    <row r="30">
      <c r="A30" s="27" t="inlineStr">
        <is>
          <t>TOTAL SCORES</t>
        </is>
      </c>
      <c r="B30" s="27" t="n"/>
      <c r="C30" s="28">
        <f>SUM(C15*0.6, B27*0.4)</f>
        <v/>
      </c>
      <c r="D30" s="27" t="n"/>
      <c r="E30" s="28">
        <f>SUM(E15*0.6, E27*0.4)</f>
        <v/>
      </c>
      <c r="F30" s="28" t="n"/>
      <c r="G30" s="28">
        <f>SUM(G15*0.6, G27*0.4)</f>
        <v/>
      </c>
      <c r="H30" s="28" t="n"/>
      <c r="I30" s="28">
        <f>SUM(I15*0.5, I27*0.5)</f>
        <v/>
      </c>
      <c r="J30" s="28" t="n"/>
      <c r="K30" s="28">
        <f>SUM(K15*0.4, K27*0.6)</f>
        <v/>
      </c>
      <c r="L30" s="28" t="n"/>
      <c r="M30" s="28">
        <f>SUM(M15*0.3, M27*0.7)</f>
        <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29"/>
  <sheetViews>
    <sheetView topLeftCell="G1" workbookViewId="0">
      <selection activeCell="N8" sqref="N8"/>
    </sheetView>
  </sheetViews>
  <sheetFormatPr baseColWidth="8" defaultRowHeight="14.5"/>
  <cols>
    <col width="53.26953125" customWidth="1" style="47" min="1" max="1"/>
    <col width="105.1796875" customWidth="1" style="47" min="14" max="14"/>
  </cols>
  <sheetData>
    <row r="1">
      <c r="A1" s="1" t="inlineStr">
        <is>
          <t>Measure</t>
        </is>
      </c>
      <c r="B1" s="2" t="inlineStr">
        <is>
          <t>EXAMPLE</t>
        </is>
      </c>
      <c r="C1" s="2" t="n"/>
      <c r="D1" s="3" t="inlineStr">
        <is>
          <t>Y1</t>
        </is>
      </c>
      <c r="E1" s="4" t="n"/>
      <c r="F1" s="5" t="inlineStr">
        <is>
          <t>Y2</t>
        </is>
      </c>
      <c r="G1" s="4" t="n"/>
      <c r="H1" s="5" t="inlineStr">
        <is>
          <t>Y3</t>
        </is>
      </c>
      <c r="I1" s="4" t="n"/>
      <c r="J1" s="5" t="inlineStr">
        <is>
          <t>Y4</t>
        </is>
      </c>
      <c r="K1" s="4" t="n"/>
      <c r="L1" s="5" t="inlineStr">
        <is>
          <t>Y5</t>
        </is>
      </c>
      <c r="M1" s="6" t="n"/>
    </row>
    <row r="2">
      <c r="A2" s="1" t="inlineStr">
        <is>
          <t>[Note redacted for anonymization]</t>
        </is>
      </c>
      <c r="B2" s="2" t="n"/>
      <c r="C2" s="2" t="n"/>
      <c r="D2" s="7" t="n"/>
      <c r="E2" s="8" t="n"/>
      <c r="F2" s="7" t="n"/>
      <c r="G2" s="8" t="n"/>
      <c r="H2" s="7" t="n"/>
      <c r="I2" s="8" t="n"/>
      <c r="J2" s="7" t="n"/>
      <c r="K2" s="8" t="n"/>
      <c r="L2" s="7" t="n"/>
      <c r="M2" s="6" t="n"/>
    </row>
    <row r="3">
      <c r="A3" s="9" t="inlineStr">
        <is>
          <t>Financial, LAB &gt;70%</t>
        </is>
      </c>
      <c r="B3" s="10" t="inlineStr">
        <is>
          <t>A</t>
        </is>
      </c>
      <c r="C3" s="11">
        <f>IF(B3="A",1,IF(B3="B",0.75,IF(B3="C",0.5,IF(B3="F",0))))</f>
        <v/>
      </c>
      <c r="D3" s="12" t="inlineStr">
        <is>
          <t>B</t>
        </is>
      </c>
      <c r="E3" s="6">
        <f>IF(D3="A",1,IF(D3="B",0.75,IF(D3="C",0.5,IF(D3="F",0))))</f>
        <v/>
      </c>
      <c r="F3" s="12" t="n"/>
      <c r="G3" s="6">
        <f>IF(F3="A",1,IF(F3="B",0.75,IF(F3="C",0.5,IF(F3="F",0))))</f>
        <v/>
      </c>
      <c r="H3" s="12" t="n"/>
      <c r="I3" s="6">
        <f>IF(H3="A",1,IF(H3="B",0.75,IF(H3="C",0.5,IF(H3="F",0))))</f>
        <v/>
      </c>
      <c r="J3" s="12" t="n"/>
      <c r="K3" s="6">
        <f>IF(J3="A",1,IF(J3="B",0.75,IF(J3="C",0.5,IF(J3="F",0))))</f>
        <v/>
      </c>
      <c r="L3" s="12" t="n"/>
      <c r="M3" s="6">
        <f>IF(L3="A",1,IF(L3="B",0.75,IF(L3="C",0.5,IF(L3="F",0))))</f>
        <v/>
      </c>
      <c r="N3" t="inlineStr">
        <is>
          <t>[Note redacted for anonymization]</t>
        </is>
      </c>
    </row>
    <row r="4">
      <c r="B4" s="2" t="n"/>
      <c r="C4" s="11" t="n"/>
      <c r="E4" s="6" t="n"/>
      <c r="G4" s="6" t="n"/>
      <c r="I4" s="6" t="n"/>
      <c r="K4" s="6" t="n"/>
      <c r="M4" s="6" t="n"/>
      <c r="N4" t="inlineStr">
        <is>
          <t>[Note redacted for anonymization]</t>
        </is>
      </c>
    </row>
    <row r="5">
      <c r="A5" s="9" t="inlineStr">
        <is>
          <t>Financial, Excessive Drawdowns</t>
        </is>
      </c>
      <c r="B5" s="10" t="inlineStr">
        <is>
          <t>F</t>
        </is>
      </c>
      <c r="C5" s="11">
        <f>IF(B5="A",1,IF(B5="B",0.75,IF(B5="C",0.5,IF(B5="F",0))))</f>
        <v/>
      </c>
      <c r="D5" s="12" t="inlineStr">
        <is>
          <t>A</t>
        </is>
      </c>
      <c r="E5" s="6">
        <f>IF(D5="A",1,IF(D5="B",0.75,IF(D5="C",0.5,IF(D5="F",0))))</f>
        <v/>
      </c>
      <c r="F5" s="12" t="n"/>
      <c r="G5" s="6">
        <f>IF(F5="A",1,IF(F5="B",0.75,IF(F5="C",0.5,IF(F5="F",0))))</f>
        <v/>
      </c>
      <c r="H5" s="12" t="n"/>
      <c r="I5" s="6">
        <f>IF(H5="A",1,IF(H5="B",0.75,IF(H5="C",0.5,IF(H5="F",0))))</f>
        <v/>
      </c>
      <c r="J5" s="12" t="n"/>
      <c r="K5" s="6">
        <f>IF(J5="A",1,IF(J5="B",0.75,IF(J5="C",0.5,IF(J5="F",0))))</f>
        <v/>
      </c>
      <c r="L5" s="12" t="n"/>
      <c r="M5" s="6">
        <f>IF(L5="A",1,IF(L5="B",0.75,IF(L5="C",0.5,IF(L5="F",0))))</f>
        <v/>
      </c>
      <c r="N5" t="inlineStr">
        <is>
          <t>[Note redacted for anonymization]</t>
        </is>
      </c>
    </row>
    <row r="6">
      <c r="B6" s="2" t="n"/>
      <c r="C6" s="11" t="n"/>
      <c r="E6" s="6" t="n"/>
      <c r="G6" s="6" t="n"/>
      <c r="I6" s="6" t="n"/>
      <c r="K6" s="6" t="n"/>
      <c r="M6" s="6" t="n"/>
      <c r="N6" t="inlineStr">
        <is>
          <t>[Note redacted for anonymization]</t>
        </is>
      </c>
    </row>
    <row r="7">
      <c r="A7" s="9" t="inlineStr">
        <is>
          <t>Performance, PD changes or staffing turnover</t>
        </is>
      </c>
      <c r="B7" s="10" t="inlineStr">
        <is>
          <t>A</t>
        </is>
      </c>
      <c r="C7" s="11">
        <f>IF(B7="A",1,IF(B7="B",0.75,IF(B7="C",0.5,IF(B7="F",0))))</f>
        <v/>
      </c>
      <c r="D7" s="12" t="inlineStr">
        <is>
          <t>B</t>
        </is>
      </c>
      <c r="E7" s="6">
        <f>IF(D7="A",1,IF(D7="B",0.75,IF(D7="C",0.5,IF(D7="F",0))))</f>
        <v/>
      </c>
      <c r="F7" s="12" t="n"/>
      <c r="G7" s="6">
        <f>IF(F7="A",1,IF(F7="B",0.75,IF(F7="C",0.5,IF(F7="F",0))))</f>
        <v/>
      </c>
      <c r="H7" s="12" t="n"/>
      <c r="I7" s="6">
        <f>IF(H7="A",1,IF(H7="B",0.75,IF(H7="C",0.5,IF(H7="F",0))))</f>
        <v/>
      </c>
      <c r="J7" s="12" t="n"/>
      <c r="K7" s="6">
        <f>IF(J7="A",1,IF(J7="B",0.75,IF(J7="C",0.5,IF(J7="F",0))))</f>
        <v/>
      </c>
      <c r="L7" s="12" t="n"/>
      <c r="M7" s="6">
        <f>IF(L7="A",1,IF(L7="B",0.75,IF(L7="C",0.5,IF(L7="F",0))))</f>
        <v/>
      </c>
      <c r="N7" t="inlineStr">
        <is>
          <t>[Note redacted for anonymization]</t>
        </is>
      </c>
    </row>
    <row r="8">
      <c r="B8" s="2" t="n"/>
      <c r="C8" s="11" t="n"/>
      <c r="E8" s="6" t="n"/>
      <c r="G8" s="6" t="n"/>
      <c r="I8" s="6" t="n"/>
      <c r="K8" s="6" t="n"/>
      <c r="M8" s="6" t="n"/>
      <c r="N8" t="inlineStr">
        <is>
          <t>[Note redacted for anonymization]</t>
        </is>
      </c>
    </row>
    <row r="9">
      <c r="A9" s="9" t="inlineStr">
        <is>
          <t>Performance, other</t>
        </is>
      </c>
      <c r="B9" s="10" t="inlineStr">
        <is>
          <t>B</t>
        </is>
      </c>
      <c r="C9" s="11">
        <f>IF(B9="A",1,IF(B9="B",0.75,IF(B9="C",0.5,IF(B9="F",0))))</f>
        <v/>
      </c>
      <c r="D9" s="12" t="inlineStr">
        <is>
          <t>B</t>
        </is>
      </c>
      <c r="E9" s="6">
        <f>IF(D9="A",1,IF(D9="B",0.75,IF(D9="C",0.5,IF(D9="F",0))))</f>
        <v/>
      </c>
      <c r="F9" s="12" t="n"/>
      <c r="G9" s="6">
        <f>IF(F9="A",1,IF(F9="B",0.75,IF(F9="C",0.5,IF(F9="F",0))))</f>
        <v/>
      </c>
      <c r="H9" s="12" t="n"/>
      <c r="I9" s="6">
        <f>IF(H9="A",1,IF(H9="B",0.75,IF(H9="C",0.5,IF(H9="F",0))))</f>
        <v/>
      </c>
      <c r="J9" s="12" t="n"/>
      <c r="K9" s="6">
        <f>IF(J9="A",1,IF(J9="B",0.75,IF(J9="C",0.5,IF(J9="F",0))))</f>
        <v/>
      </c>
      <c r="L9" s="12" t="n"/>
      <c r="M9" s="6">
        <f>IF(L9="A",1,IF(L9="B",0.75,IF(L9="C",0.5,IF(L9="F",0))))</f>
        <v/>
      </c>
      <c r="N9" t="inlineStr">
        <is>
          <t>[Note redacted for anonymization]</t>
        </is>
      </c>
    </row>
    <row r="10">
      <c r="B10" s="2" t="n"/>
      <c r="C10" s="11" t="n"/>
      <c r="E10" s="6" t="n"/>
      <c r="G10" s="6" t="n"/>
      <c r="I10" s="6" t="n"/>
      <c r="K10" s="6" t="n"/>
      <c r="M10" s="6" t="n"/>
    </row>
    <row r="11" ht="29" customHeight="1" s="47">
      <c r="A11" s="13" t="inlineStr">
        <is>
          <t>Internal controls (could include financial adjustments, lack of drawdowns)</t>
        </is>
      </c>
      <c r="B11" s="10" t="inlineStr">
        <is>
          <t>C</t>
        </is>
      </c>
      <c r="C11" s="11">
        <f>IF(B11="A",1,IF(B11="B",0.75,IF(B11="C",0.5,IF(B11="F",0))))</f>
        <v/>
      </c>
      <c r="D11" s="12" t="inlineStr">
        <is>
          <t>B</t>
        </is>
      </c>
      <c r="E11" s="6">
        <f>IF(D11="A",1,IF(D11="B",0.75,IF(D11="C",0.5,IF(D11="F",0))))</f>
        <v/>
      </c>
      <c r="F11" s="12" t="n"/>
      <c r="G11" s="6">
        <f>IF(F11="A",1,IF(F11="B",0.75,IF(F11="C",0.5,IF(F11="F",0))))</f>
        <v/>
      </c>
      <c r="H11" s="12" t="n"/>
      <c r="I11" s="6">
        <f>IF(H11="A",1,IF(H11="B",0.75,IF(H11="C",0.5,IF(H11="F",0))))</f>
        <v/>
      </c>
      <c r="J11" s="12" t="n"/>
      <c r="K11" s="6">
        <f>IF(J11="A",1,IF(J11="B",0.75,IF(J11="C",0.5,IF(J11="F",0))))</f>
        <v/>
      </c>
      <c r="L11" s="12" t="n"/>
      <c r="M11" s="6">
        <f>IF(L11="A",1,IF(L11="B",0.75,IF(L11="C",0.5,IF(L11="F",0))))</f>
        <v/>
      </c>
      <c r="N11" t="inlineStr">
        <is>
          <t>[Note redacted for anonymization]</t>
        </is>
      </c>
    </row>
    <row r="12">
      <c r="B12" s="2" t="n"/>
      <c r="C12" s="11" t="n"/>
      <c r="E12" s="6" t="n"/>
      <c r="G12" s="6" t="n"/>
      <c r="I12" s="6" t="n"/>
      <c r="K12" s="6" t="n"/>
      <c r="M12" s="6" t="n"/>
    </row>
    <row r="13">
      <c r="A13" t="inlineStr">
        <is>
          <t>Conditions</t>
        </is>
      </c>
      <c r="B13" s="10" t="inlineStr">
        <is>
          <t>A</t>
        </is>
      </c>
      <c r="C13" s="11">
        <f>IF(B13="A",1,IF(B13="B",0.75,IF(B13="C",0.5,IF(B13="F",0))))</f>
        <v/>
      </c>
      <c r="D13" s="12" t="inlineStr">
        <is>
          <t>A</t>
        </is>
      </c>
      <c r="E13" s="6">
        <f>IF(D13="A",1,IF(D13="B",0.75,IF(D13="C",0.5,IF(D13="F",0))))</f>
        <v/>
      </c>
      <c r="F13" s="12" t="n"/>
      <c r="G13" s="6">
        <f>IF(F13="A",1,IF(F13="B",0.75,IF(F13="C",0.5,IF(F13="F",0))))</f>
        <v/>
      </c>
      <c r="H13" s="12" t="n"/>
      <c r="I13" s="6">
        <f>IF(H13="A",1,IF(H13="B",0.75,IF(H13="C",0.5,IF(H13="F",0))))</f>
        <v/>
      </c>
      <c r="J13" s="12" t="n"/>
      <c r="K13" s="6">
        <f>IF(J13="A",1,IF(J13="B",0.75,IF(J13="C",0.5,IF(J13="F",0))))</f>
        <v/>
      </c>
      <c r="L13" s="12" t="n"/>
      <c r="M13" s="6">
        <f>IF(L13="A",1,IF(L13="B",0.75,IF(L13="C",0.5,IF(L13="F",0))))</f>
        <v/>
      </c>
    </row>
    <row r="14">
      <c r="E14" s="6" t="n"/>
      <c r="G14" s="6" t="n"/>
      <c r="I14" s="6" t="n"/>
      <c r="K14" s="6" t="n"/>
      <c r="M14" s="6" t="n"/>
    </row>
    <row r="15">
      <c r="A15" s="14" t="inlineStr">
        <is>
          <t>TOTAL SCORE ADMINISTRATIVE</t>
        </is>
      </c>
      <c r="B15" s="14" t="n"/>
      <c r="C15" s="15">
        <f>SUM(C3*0.1, C5*0.1, C7*0.1, C9*0.5,C11*0.1,C13*0.1)</f>
        <v/>
      </c>
      <c r="D15" s="15" t="n"/>
      <c r="E15" s="15">
        <f>SUM(E3*0.1, E5*0.1, E7*0.1, E9*0.55,E11*0.1,E13*0.05)</f>
        <v/>
      </c>
      <c r="F15" s="15" t="n"/>
      <c r="G15" s="15">
        <f>SUM(G3*0.1, G5*0.1, G7*0.1, G9*0.55,G11*0.1,G13*0.05)</f>
        <v/>
      </c>
      <c r="H15" s="15" t="n"/>
      <c r="I15" s="15">
        <f>SUM(I3*0.1, I5*0.1, I7*0.1, I9*0.55,I11*0.1,I13*0.05)</f>
        <v/>
      </c>
      <c r="J15" s="15" t="n"/>
      <c r="K15" s="15">
        <f>SUM(K3*0.1, K5*0.1, K7*0.1, K9*0.55,K11*0.1,K13*0.05)</f>
        <v/>
      </c>
      <c r="L15" s="15" t="n"/>
      <c r="M15" s="15">
        <f>SUM(M3*0.2, M5*0.1, M7*0.1, M9*0.55,M11*0.05)</f>
        <v/>
      </c>
    </row>
    <row r="16">
      <c r="A16" s="1" t="n"/>
      <c r="B16" s="1" t="n"/>
      <c r="C16" s="1" t="n"/>
      <c r="D16" s="1" t="n"/>
      <c r="E16" s="16" t="n"/>
      <c r="F16" s="1" t="n"/>
      <c r="G16" s="16" t="n"/>
      <c r="H16" s="1" t="n"/>
      <c r="I16" s="16" t="n"/>
      <c r="J16" s="1" t="n"/>
      <c r="K16" s="16" t="n"/>
      <c r="L16" s="1" t="n"/>
      <c r="M16" s="16" t="n"/>
    </row>
    <row r="17">
      <c r="A17" s="1" t="inlineStr">
        <is>
          <t>GPRA MEASURES</t>
        </is>
      </c>
      <c r="E17" s="6" t="n"/>
      <c r="G17" s="6" t="n"/>
      <c r="I17" s="6" t="n"/>
      <c r="K17" s="6" t="n"/>
      <c r="M17" s="6" t="n"/>
    </row>
    <row r="18">
      <c r="A18" s="17" t="inlineStr">
        <is>
          <t>GPRA 1: Hired</t>
        </is>
      </c>
      <c r="B18" s="2" t="n"/>
      <c r="C18" s="18" t="n"/>
      <c r="D18" s="18" t="n"/>
      <c r="E18" s="19" t="n">
        <v>0</v>
      </c>
      <c r="F18" s="20" t="n"/>
      <c r="G18" s="19" t="n"/>
      <c r="H18" s="20" t="n"/>
      <c r="I18" s="19" t="n"/>
      <c r="J18" s="20" t="n"/>
      <c r="K18" s="19" t="n"/>
      <c r="L18" s="20" t="n"/>
      <c r="M18" s="19" t="n"/>
    </row>
    <row r="19">
      <c r="A19" s="21" t="inlineStr">
        <is>
          <t>GPRA 2: Retained</t>
        </is>
      </c>
      <c r="B19" s="22" t="n"/>
      <c r="C19" s="18" t="n"/>
      <c r="D19" s="18" t="n"/>
      <c r="E19" s="23" t="n">
        <v>1</v>
      </c>
      <c r="F19" s="24" t="n"/>
      <c r="G19" s="23" t="n"/>
      <c r="H19" s="24" t="n"/>
      <c r="I19" s="23" t="n"/>
      <c r="J19" s="24" t="n"/>
      <c r="K19" s="23" t="n"/>
      <c r="L19" s="24" t="n"/>
      <c r="M19" s="23" t="n"/>
      <c r="N19" t="inlineStr">
        <is>
          <t>[Note redacted for anonymization]</t>
        </is>
      </c>
    </row>
    <row r="20">
      <c r="A20" t="inlineStr">
        <is>
          <t>GPRA 3: Ratio</t>
        </is>
      </c>
      <c r="B20" s="22" t="n"/>
      <c r="C20" s="18" t="n"/>
      <c r="D20" s="18" t="n"/>
      <c r="E20" s="23" t="n">
        <v>1</v>
      </c>
      <c r="F20" s="24" t="n"/>
      <c r="G20" s="23" t="n"/>
      <c r="H20" s="24" t="n"/>
      <c r="I20" s="23" t="n"/>
      <c r="J20" s="24" t="n"/>
      <c r="K20" s="23" t="n"/>
      <c r="L20" s="24" t="n"/>
      <c r="M20" s="23" t="n"/>
    </row>
    <row r="21">
      <c r="A21" s="18" t="inlineStr">
        <is>
          <t>GPRA 4: Attrition</t>
        </is>
      </c>
      <c r="B21" s="22" t="n"/>
      <c r="C21" s="18" t="n"/>
      <c r="D21" s="18" t="n"/>
      <c r="E21" s="23" t="n">
        <v>1</v>
      </c>
      <c r="F21" s="24" t="n"/>
      <c r="G21" s="23" t="n"/>
      <c r="H21" s="24" t="n"/>
      <c r="I21" s="23" t="n"/>
      <c r="J21" s="24" t="n"/>
      <c r="K21" s="23" t="n"/>
      <c r="L21" s="24" t="n"/>
      <c r="M21" s="23" t="n"/>
    </row>
    <row r="22">
      <c r="A22" s="25" t="inlineStr">
        <is>
          <t>[Note redacted for anonymization]</t>
        </is>
      </c>
      <c r="B22" s="12" t="n"/>
      <c r="C22" s="18" t="n"/>
      <c r="D22" s="18" t="n"/>
      <c r="E22" s="26" t="n">
        <v>0</v>
      </c>
      <c r="F22" s="24" t="n"/>
      <c r="G22" s="26" t="n"/>
      <c r="H22" s="24" t="n"/>
      <c r="I22" s="26" t="n"/>
      <c r="J22" s="24" t="n"/>
      <c r="K22" s="26" t="n"/>
      <c r="L22" s="24" t="n"/>
      <c r="M22" s="26" t="n"/>
    </row>
    <row r="23">
      <c r="A23" s="15" t="inlineStr">
        <is>
          <t>TOTAL SCORE GPRA</t>
        </is>
      </c>
      <c r="B23" s="15">
        <f>SUM(B18*0.4, B19*0.2, B20*0.1, B21*0.2, B22*0.1)</f>
        <v/>
      </c>
      <c r="C23" s="15" t="n"/>
      <c r="D23" s="15" t="n"/>
      <c r="E23" s="15">
        <f>SUM(E18*0.4, E19*0.2, E20*0.1, E21*0.2, E22*0.1)</f>
        <v/>
      </c>
      <c r="F23" s="15" t="n"/>
      <c r="G23" s="15">
        <f>-SUM(G18*0.4, G19*0.2, G20*0.1, G21*0.2, G22*0.1)</f>
        <v/>
      </c>
      <c r="H23" s="15" t="n"/>
      <c r="I23" s="15">
        <f>-SUM(I18*0.4, I19*0.2, I20*0.1, I21*0.2, I22*0.1)</f>
        <v/>
      </c>
      <c r="J23" s="15" t="n"/>
      <c r="K23" s="15">
        <f>-SUM(K18*0.4, K19*0.2, K20*0.1, K21*0.2, K22*0.1)</f>
        <v/>
      </c>
      <c r="L23" s="15" t="n"/>
      <c r="M23" s="15">
        <f>-SUM(M18*0.4, M19*0.2, M20*0.1, M21*0.2, M22*0.1)</f>
        <v/>
      </c>
    </row>
    <row r="24">
      <c r="E24" s="6" t="n"/>
      <c r="G24" s="6" t="n"/>
      <c r="I24" s="6" t="n"/>
      <c r="K24" s="6" t="n"/>
      <c r="M24" s="6" t="n"/>
    </row>
    <row r="25">
      <c r="E25" s="6" t="n"/>
      <c r="G25" s="6" t="n"/>
      <c r="I25" s="6" t="n"/>
      <c r="K25" s="6" t="n"/>
      <c r="M25" s="6" t="n"/>
    </row>
    <row r="26">
      <c r="A26" s="27" t="inlineStr">
        <is>
          <t>TOTAL SCORES</t>
        </is>
      </c>
      <c r="B26" s="27" t="n"/>
      <c r="C26" s="28">
        <f>SUM(C15*0.6, B23*0.4)</f>
        <v/>
      </c>
      <c r="D26" s="27" t="n"/>
      <c r="E26" s="28">
        <f>SUM(E15*0.6, E23*0.4)</f>
        <v/>
      </c>
      <c r="F26" s="28" t="n"/>
      <c r="G26" s="28">
        <f>SUM(G15*0.6, G23*0.4)</f>
        <v/>
      </c>
      <c r="H26" s="28" t="n"/>
      <c r="I26" s="28">
        <f>SUM(I15*0.5, I23*0.5)</f>
        <v/>
      </c>
      <c r="J26" s="28" t="n"/>
      <c r="K26" s="28">
        <f>SUM(K15*0.4, K23*0.6)</f>
        <v/>
      </c>
      <c r="L26" s="28" t="n"/>
      <c r="M26" s="28">
        <f>SUM(M15*0.3, M23*0.7)</f>
        <v/>
      </c>
    </row>
    <row r="27">
      <c r="E27" s="6" t="n"/>
      <c r="G27" s="6" t="n"/>
      <c r="I27" s="6" t="n"/>
      <c r="K27" s="6" t="n"/>
      <c r="M27" s="6" t="n"/>
    </row>
    <row r="28">
      <c r="E28" s="6" t="n"/>
      <c r="G28" s="6" t="n"/>
      <c r="I28" s="6" t="n"/>
      <c r="K28" s="6" t="n"/>
      <c r="M28" s="6" t="n"/>
    </row>
    <row r="29">
      <c r="E29" s="6" t="n"/>
      <c r="G29" s="6" t="n"/>
      <c r="I29" s="6" t="n"/>
      <c r="K29" s="6" t="n"/>
      <c r="M29" s="6"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N29"/>
  <sheetViews>
    <sheetView topLeftCell="A10" workbookViewId="0">
      <selection activeCell="G27" sqref="G27"/>
    </sheetView>
  </sheetViews>
  <sheetFormatPr baseColWidth="8" defaultRowHeight="14.5"/>
  <cols>
    <col width="42.453125" customWidth="1" style="47" min="1" max="1"/>
    <col width="65.90625" customWidth="1" style="47" min="14" max="14"/>
  </cols>
  <sheetData>
    <row r="1">
      <c r="A1" s="1" t="inlineStr">
        <is>
          <t>Measure</t>
        </is>
      </c>
      <c r="B1" s="2" t="inlineStr">
        <is>
          <t>EXAMPLE</t>
        </is>
      </c>
      <c r="C1" s="2" t="n"/>
      <c r="D1" s="3" t="inlineStr">
        <is>
          <t>Y1</t>
        </is>
      </c>
      <c r="E1" s="4" t="n"/>
      <c r="F1" s="5" t="inlineStr">
        <is>
          <t>Y2</t>
        </is>
      </c>
      <c r="G1" s="4" t="n"/>
      <c r="H1" s="5" t="inlineStr">
        <is>
          <t>Y3</t>
        </is>
      </c>
      <c r="I1" s="4" t="n"/>
      <c r="J1" s="5" t="inlineStr">
        <is>
          <t>Y4</t>
        </is>
      </c>
      <c r="K1" s="4" t="n"/>
      <c r="L1" s="5" t="inlineStr">
        <is>
          <t>Y5</t>
        </is>
      </c>
      <c r="M1" s="6" t="n"/>
      <c r="N1" s="5" t="inlineStr">
        <is>
          <t>Notes</t>
        </is>
      </c>
    </row>
    <row r="2">
      <c r="A2" s="1" t="inlineStr">
        <is>
          <t>[Note redacted for anonymization]</t>
        </is>
      </c>
      <c r="B2" s="2" t="n"/>
      <c r="C2" s="2" t="n"/>
      <c r="D2" s="7" t="n"/>
      <c r="E2" s="8" t="n"/>
      <c r="F2" s="7" t="n"/>
      <c r="G2" s="8" t="n"/>
      <c r="H2" s="7" t="n"/>
      <c r="I2" s="8" t="n"/>
      <c r="J2" s="7" t="n"/>
      <c r="K2" s="8" t="n"/>
      <c r="L2" s="7" t="n"/>
      <c r="M2" s="6" t="n"/>
      <c r="N2" s="7" t="n"/>
    </row>
    <row r="3">
      <c r="A3" s="9" t="inlineStr">
        <is>
          <t>Financial, LAB &gt;70%</t>
        </is>
      </c>
      <c r="B3" s="10" t="inlineStr">
        <is>
          <t>A</t>
        </is>
      </c>
      <c r="C3" s="11">
        <f>IF(B3="A",1,IF(B3="B",0.75,IF(B3="C",0.5,IF(B3="F",0))))</f>
        <v/>
      </c>
      <c r="D3" s="12" t="inlineStr">
        <is>
          <t>B</t>
        </is>
      </c>
      <c r="E3" s="6">
        <f>IF(D3="A",1,IF(D3="B",0.75,IF(D3="C",0.5,IF(D3="F",0))))</f>
        <v/>
      </c>
      <c r="F3" s="12" t="n"/>
      <c r="G3" s="6">
        <f>IF(F3="A",1,IF(F3="B",0.75,IF(F3="C",0.5,IF(F3="F",0))))</f>
        <v/>
      </c>
      <c r="H3" s="12" t="n"/>
      <c r="I3" s="6">
        <f>IF(H3="A",1,IF(H3="B",0.75,IF(H3="C",0.5,IF(H3="F",0))))</f>
        <v/>
      </c>
      <c r="J3" s="12" t="n"/>
      <c r="K3" s="6">
        <f>IF(J3="A",1,IF(J3="B",0.75,IF(J3="C",0.5,IF(J3="F",0))))</f>
        <v/>
      </c>
      <c r="L3" s="12" t="n"/>
      <c r="M3" s="6">
        <f>IF(L3="A",1,IF(L3="B",0.75,IF(L3="C",0.5,IF(L3="F",0))))</f>
        <v/>
      </c>
      <c r="N3" t="inlineStr">
        <is>
          <t>[Note redacted for anonymization]</t>
        </is>
      </c>
    </row>
    <row r="4">
      <c r="B4" s="2" t="n"/>
      <c r="C4" s="11" t="n"/>
      <c r="E4" s="6" t="n"/>
      <c r="G4" s="6" t="n"/>
      <c r="I4" s="6" t="n"/>
      <c r="K4" s="6" t="n"/>
      <c r="M4" s="6" t="n"/>
    </row>
    <row r="5">
      <c r="A5" s="9" t="inlineStr">
        <is>
          <t>Financial, Excessive Drawdowns</t>
        </is>
      </c>
      <c r="B5" s="10" t="inlineStr">
        <is>
          <t>F</t>
        </is>
      </c>
      <c r="C5" s="11">
        <f>IF(B5="A",1,IF(B5="B",0.75,IF(B5="C",0.5,IF(B5="F",0))))</f>
        <v/>
      </c>
      <c r="D5" s="12" t="inlineStr">
        <is>
          <t>A</t>
        </is>
      </c>
      <c r="E5" s="6">
        <f>IF(D5="A",1,IF(D5="B",0.75,IF(D5="C",0.5,IF(D5="F",0))))</f>
        <v/>
      </c>
      <c r="F5" s="12" t="n"/>
      <c r="G5" s="6">
        <f>IF(F5="A",1,IF(F5="B",0.75,IF(F5="C",0.5,IF(F5="F",0))))</f>
        <v/>
      </c>
      <c r="H5" s="12" t="n"/>
      <c r="I5" s="6">
        <f>IF(H5="A",1,IF(H5="B",0.75,IF(H5="C",0.5,IF(H5="F",0))))</f>
        <v/>
      </c>
      <c r="J5" s="12" t="n"/>
      <c r="K5" s="6">
        <f>IF(J5="A",1,IF(J5="B",0.75,IF(J5="C",0.5,IF(J5="F",0))))</f>
        <v/>
      </c>
      <c r="L5" s="12" t="n"/>
      <c r="M5" s="6">
        <f>IF(L5="A",1,IF(L5="B",0.75,IF(L5="C",0.5,IF(L5="F",0))))</f>
        <v/>
      </c>
    </row>
    <row r="6">
      <c r="B6" s="2" t="n"/>
      <c r="C6" s="11" t="n"/>
      <c r="E6" s="6" t="n"/>
      <c r="G6" s="6" t="n"/>
      <c r="I6" s="6" t="n"/>
      <c r="K6" s="6" t="n"/>
      <c r="M6" s="6" t="n"/>
    </row>
    <row r="7">
      <c r="A7" s="9" t="inlineStr">
        <is>
          <t>Performance, PD changes or staffing turnover</t>
        </is>
      </c>
      <c r="B7" s="10" t="inlineStr">
        <is>
          <t>A</t>
        </is>
      </c>
      <c r="C7" s="11">
        <f>IF(B7="A",1,IF(B7="B",0.75,IF(B7="C",0.5,IF(B7="F",0))))</f>
        <v/>
      </c>
      <c r="D7" s="12" t="inlineStr">
        <is>
          <t>A</t>
        </is>
      </c>
      <c r="E7" s="6">
        <f>IF(D7="A",1,IF(D7="B",0.75,IF(D7="C",0.5,IF(D7="F",0))))</f>
        <v/>
      </c>
      <c r="F7" s="12" t="n"/>
      <c r="G7" s="6">
        <f>IF(F7="A",1,IF(F7="B",0.75,IF(F7="C",0.5,IF(F7="F",0))))</f>
        <v/>
      </c>
      <c r="H7" s="12" t="n"/>
      <c r="I7" s="6">
        <f>IF(H7="A",1,IF(H7="B",0.75,IF(H7="C",0.5,IF(H7="F",0))))</f>
        <v/>
      </c>
      <c r="J7" s="12" t="n"/>
      <c r="K7" s="6">
        <f>IF(J7="A",1,IF(J7="B",0.75,IF(J7="C",0.5,IF(J7="F",0))))</f>
        <v/>
      </c>
      <c r="L7" s="12" t="n"/>
      <c r="M7" s="6">
        <f>IF(L7="A",1,IF(L7="B",0.75,IF(L7="C",0.5,IF(L7="F",0))))</f>
        <v/>
      </c>
    </row>
    <row r="8">
      <c r="B8" s="2" t="n"/>
      <c r="C8" s="11" t="n"/>
      <c r="E8" s="6" t="n"/>
      <c r="G8" s="6" t="n"/>
      <c r="I8" s="6" t="n"/>
      <c r="K8" s="6" t="n"/>
      <c r="M8" s="6" t="n"/>
    </row>
    <row r="9">
      <c r="A9" s="9" t="inlineStr">
        <is>
          <t>Performance, other</t>
        </is>
      </c>
      <c r="B9" s="10" t="inlineStr">
        <is>
          <t>B</t>
        </is>
      </c>
      <c r="C9" s="11">
        <f>IF(B9="A",1,IF(B9="B",0.75,IF(B9="C",0.5,IF(B9="F",0))))</f>
        <v/>
      </c>
      <c r="D9" s="12" t="inlineStr">
        <is>
          <t>B</t>
        </is>
      </c>
      <c r="E9" s="6">
        <f>IF(D9="A",1,IF(D9="B",0.75,IF(D9="C",0.5,IF(D9="F",0))))</f>
        <v/>
      </c>
      <c r="F9" s="12" t="n"/>
      <c r="G9" s="6">
        <f>IF(F9="A",1,IF(F9="B",0.75,IF(F9="C",0.5,IF(F9="F",0))))</f>
        <v/>
      </c>
      <c r="H9" s="12" t="n"/>
      <c r="I9" s="6">
        <f>IF(H9="A",1,IF(H9="B",0.75,IF(H9="C",0.5,IF(H9="F",0))))</f>
        <v/>
      </c>
      <c r="J9" s="12" t="n"/>
      <c r="K9" s="6">
        <f>IF(J9="A",1,IF(J9="B",0.75,IF(J9="C",0.5,IF(J9="F",0))))</f>
        <v/>
      </c>
      <c r="L9" s="12" t="n"/>
      <c r="M9" s="6">
        <f>IF(L9="A",1,IF(L9="B",0.75,IF(L9="C",0.5,IF(L9="F",0))))</f>
        <v/>
      </c>
      <c r="N9" t="inlineStr">
        <is>
          <t>[Note redacted for anonymization]</t>
        </is>
      </c>
    </row>
    <row r="10">
      <c r="B10" s="2" t="n"/>
      <c r="C10" s="11" t="n"/>
      <c r="E10" s="6" t="n"/>
      <c r="G10" s="6" t="n"/>
      <c r="I10" s="6" t="n"/>
      <c r="K10" s="6" t="n"/>
      <c r="M10" s="6" t="n"/>
    </row>
    <row r="11" ht="29" customHeight="1" s="47">
      <c r="A11" s="13" t="inlineStr">
        <is>
          <t>Internal controls (could include financial adjustments, lack of drawdowns)</t>
        </is>
      </c>
      <c r="B11" s="10" t="inlineStr">
        <is>
          <t>C</t>
        </is>
      </c>
      <c r="C11" s="11">
        <f>IF(B11="A",1,IF(B11="B",0.75,IF(B11="C",0.5,IF(B11="F",0))))</f>
        <v/>
      </c>
      <c r="D11" s="12" t="inlineStr">
        <is>
          <t>A</t>
        </is>
      </c>
      <c r="E11" s="6">
        <f>IF(D11="A",1,IF(D11="B",0.75,IF(D11="C",0.5,IF(D11="F",0))))</f>
        <v/>
      </c>
      <c r="F11" s="12" t="n"/>
      <c r="G11" s="6">
        <f>IF(F11="A",1,IF(F11="B",0.75,IF(F11="C",0.5,IF(F11="F",0))))</f>
        <v/>
      </c>
      <c r="H11" s="12" t="n"/>
      <c r="I11" s="6">
        <f>IF(H11="A",1,IF(H11="B",0.75,IF(H11="C",0.5,IF(H11="F",0))))</f>
        <v/>
      </c>
      <c r="J11" s="12" t="n"/>
      <c r="K11" s="6">
        <f>IF(J11="A",1,IF(J11="B",0.75,IF(J11="C",0.5,IF(J11="F",0))))</f>
        <v/>
      </c>
      <c r="L11" s="12" t="n"/>
      <c r="M11" s="6">
        <f>IF(L11="A",1,IF(L11="B",0.75,IF(L11="C",0.5,IF(L11="F",0))))</f>
        <v/>
      </c>
    </row>
    <row r="12">
      <c r="B12" s="2" t="n"/>
      <c r="C12" s="11" t="n"/>
      <c r="E12" s="6" t="n"/>
      <c r="G12" s="6" t="n"/>
      <c r="I12" s="6" t="n"/>
      <c r="K12" s="6" t="n"/>
      <c r="M12" s="6" t="n"/>
    </row>
    <row r="13">
      <c r="A13" t="inlineStr">
        <is>
          <t>Conditions</t>
        </is>
      </c>
      <c r="B13" s="10" t="inlineStr">
        <is>
          <t>A</t>
        </is>
      </c>
      <c r="C13" s="11">
        <f>IF(B13="A",1,IF(B13="B",0.75,IF(B13="C",0.5,IF(B13="F",0))))</f>
        <v/>
      </c>
      <c r="D13" s="12" t="inlineStr">
        <is>
          <t>A</t>
        </is>
      </c>
      <c r="E13" s="6">
        <f>IF(D13="A",1,IF(D13="B",0.75,IF(D13="C",0.5,IF(D13="F",0))))</f>
        <v/>
      </c>
      <c r="F13" s="12" t="n"/>
      <c r="G13" s="6">
        <f>IF(F13="A",1,IF(F13="B",0.75,IF(F13="C",0.5,IF(F13="F",0))))</f>
        <v/>
      </c>
      <c r="H13" s="12" t="n"/>
      <c r="I13" s="6">
        <f>IF(H13="A",1,IF(H13="B",0.75,IF(H13="C",0.5,IF(H13="F",0))))</f>
        <v/>
      </c>
      <c r="J13" s="12" t="n"/>
      <c r="K13" s="6">
        <f>IF(J13="A",1,IF(J13="B",0.75,IF(J13="C",0.5,IF(J13="F",0))))</f>
        <v/>
      </c>
      <c r="L13" s="12" t="n"/>
      <c r="M13" s="6">
        <f>IF(L13="A",1,IF(L13="B",0.75,IF(L13="C",0.5,IF(L13="F",0))))</f>
        <v/>
      </c>
    </row>
    <row r="14">
      <c r="E14" s="6" t="n"/>
      <c r="G14" s="6" t="n"/>
      <c r="I14" s="6" t="n"/>
      <c r="K14" s="6" t="n"/>
      <c r="M14" s="6" t="n"/>
    </row>
    <row r="15">
      <c r="A15" s="14" t="inlineStr">
        <is>
          <t>TOTAL SCORE ADMINISTRATIVE</t>
        </is>
      </c>
      <c r="B15" s="14" t="n"/>
      <c r="C15" s="15">
        <f>SUM(C3*0.1, C5*0.1, C7*0.1, C9*0.5,C11*0.1,C13*0.1)</f>
        <v/>
      </c>
      <c r="D15" s="15" t="n"/>
      <c r="E15" s="15">
        <f>SUM(E3*0.1, E5*0.1, E7*0.1, E9*0.55,E11*0.1,E13*0.05)</f>
        <v/>
      </c>
      <c r="F15" s="15" t="n"/>
      <c r="G15" s="15">
        <f>SUM(G3*0.1, G5*0.1, G7*0.1, G9*0.55,G11*0.1,G13*0.05)</f>
        <v/>
      </c>
      <c r="H15" s="15" t="n"/>
      <c r="I15" s="15">
        <f>SUM(I3*0.1, I5*0.1, I7*0.1, I9*0.55,I11*0.1,I13*0.05)</f>
        <v/>
      </c>
      <c r="J15" s="15" t="n"/>
      <c r="K15" s="15">
        <f>SUM(K3*0.1, K5*0.1, K7*0.1, K9*0.55,K11*0.1,K13*0.05)</f>
        <v/>
      </c>
      <c r="L15" s="15" t="n"/>
      <c r="M15" s="15">
        <f>SUM(M3*0.2, M5*0.1, M7*0.1, M9*0.55,M11*0.05)</f>
        <v/>
      </c>
    </row>
    <row r="16">
      <c r="A16" s="1" t="n"/>
      <c r="B16" s="1" t="n"/>
      <c r="C16" s="1" t="n"/>
      <c r="D16" s="1" t="n"/>
      <c r="E16" s="16" t="n"/>
      <c r="F16" s="1" t="n"/>
      <c r="G16" s="16" t="n"/>
      <c r="H16" s="1" t="n"/>
      <c r="I16" s="16" t="n"/>
      <c r="J16" s="1" t="n"/>
      <c r="K16" s="16" t="n"/>
      <c r="L16" s="1" t="n"/>
      <c r="M16" s="16" t="n"/>
    </row>
    <row r="17">
      <c r="A17" s="1" t="inlineStr">
        <is>
          <t>GPRA MEASURES</t>
        </is>
      </c>
      <c r="E17" s="6" t="n"/>
      <c r="G17" s="6" t="n"/>
      <c r="I17" s="6" t="n"/>
      <c r="K17" s="6" t="n"/>
      <c r="M17" s="6" t="n"/>
    </row>
    <row r="18">
      <c r="A18" s="17" t="inlineStr">
        <is>
          <t>GPRA 1: Hired</t>
        </is>
      </c>
      <c r="B18" s="2" t="n"/>
      <c r="C18" s="18" t="n"/>
      <c r="D18" s="18" t="n"/>
      <c r="E18" s="19" t="n">
        <v>1</v>
      </c>
      <c r="F18" s="20" t="n"/>
      <c r="G18" s="19" t="n"/>
      <c r="H18" s="20" t="n"/>
      <c r="I18" s="19" t="n"/>
      <c r="J18" s="20" t="n"/>
      <c r="K18" s="19" t="n"/>
      <c r="L18" s="20" t="n"/>
      <c r="M18" s="19" t="n"/>
    </row>
    <row r="19">
      <c r="A19" s="21" t="inlineStr">
        <is>
          <t>GPRA 2: Retained</t>
        </is>
      </c>
      <c r="B19" s="22" t="n"/>
      <c r="C19" s="18" t="n"/>
      <c r="D19" s="18" t="n"/>
      <c r="E19" s="23" t="n">
        <v>1</v>
      </c>
      <c r="F19" s="24" t="n"/>
      <c r="G19" s="23" t="n"/>
      <c r="H19" s="24" t="n"/>
      <c r="I19" s="23" t="n"/>
      <c r="J19" s="24" t="n"/>
      <c r="K19" s="23" t="n"/>
      <c r="L19" s="24" t="n"/>
      <c r="M19" s="23" t="n"/>
    </row>
    <row r="20">
      <c r="A20" t="inlineStr">
        <is>
          <t>GPRA 3: Ratio</t>
        </is>
      </c>
      <c r="B20" s="22" t="n"/>
      <c r="C20" s="18" t="n"/>
      <c r="D20" s="18" t="n"/>
      <c r="E20" s="23" t="n">
        <v>1</v>
      </c>
      <c r="F20" s="24" t="n"/>
      <c r="G20" s="23" t="n"/>
      <c r="H20" s="24" t="n"/>
      <c r="I20" s="23" t="n"/>
      <c r="J20" s="24" t="n"/>
      <c r="K20" s="23" t="n"/>
      <c r="L20" s="24" t="n"/>
      <c r="M20" s="23" t="n"/>
    </row>
    <row r="21">
      <c r="A21" s="18" t="inlineStr">
        <is>
          <t>GPRA 4: Attrition</t>
        </is>
      </c>
      <c r="B21" s="22" t="n"/>
      <c r="C21" s="18" t="n"/>
      <c r="D21" s="18" t="n"/>
      <c r="E21" s="23" t="n">
        <v>1</v>
      </c>
      <c r="F21" s="24" t="n"/>
      <c r="G21" s="23" t="n"/>
      <c r="H21" s="24" t="n"/>
      <c r="I21" s="23" t="n"/>
      <c r="J21" s="24" t="n"/>
      <c r="K21" s="23" t="n"/>
      <c r="L21" s="24" t="n"/>
      <c r="M21" s="23" t="n"/>
    </row>
    <row r="22">
      <c r="A22" s="25" t="inlineStr">
        <is>
          <t>[Note redacted for anonymization]</t>
        </is>
      </c>
      <c r="B22" s="12" t="n"/>
      <c r="C22" s="18" t="n"/>
      <c r="D22" s="18" t="n"/>
      <c r="E22" s="26" t="n">
        <v>1</v>
      </c>
      <c r="F22" s="24" t="n"/>
      <c r="G22" s="26" t="n"/>
      <c r="H22" s="24" t="n"/>
      <c r="I22" s="26" t="n"/>
      <c r="J22" s="24" t="n"/>
      <c r="K22" s="26" t="n"/>
      <c r="L22" s="24" t="n"/>
      <c r="M22" s="26" t="n"/>
    </row>
    <row r="23">
      <c r="A23" s="15" t="inlineStr">
        <is>
          <t>TOTAL SCORE GPRA</t>
        </is>
      </c>
      <c r="B23" s="15">
        <f>SUM(B18*0.4, B19*0.2, B20*0.1, B21*0.2, B22*0.1)</f>
        <v/>
      </c>
      <c r="C23" s="15" t="n"/>
      <c r="D23" s="15" t="n"/>
      <c r="E23" s="15">
        <f>SUM(E18*0.4, E19*0.2, E20*0.1, E21*0.2, E22*0.1)</f>
        <v/>
      </c>
      <c r="F23" s="15" t="n"/>
      <c r="G23" s="15">
        <f>-SUM(G18*0.4, G19*0.2, G20*0.1, G21*0.2, G22*0.1)</f>
        <v/>
      </c>
      <c r="H23" s="15" t="n"/>
      <c r="I23" s="15">
        <f>-SUM(I18*0.4, I19*0.2, I20*0.1, I21*0.2, I22*0.1)</f>
        <v/>
      </c>
      <c r="J23" s="15" t="n"/>
      <c r="K23" s="15">
        <f>-SUM(K18*0.4, K19*0.2, K20*0.1, K21*0.2, K22*0.1)</f>
        <v/>
      </c>
      <c r="L23" s="15" t="n"/>
      <c r="M23" s="15">
        <f>-SUM(M18*0.4, M19*0.2, M20*0.1, M21*0.2, M22*0.1)</f>
        <v/>
      </c>
    </row>
    <row r="24">
      <c r="E24" s="6" t="n"/>
      <c r="G24" s="6" t="n"/>
      <c r="I24" s="6" t="n"/>
      <c r="K24" s="6" t="n"/>
      <c r="M24" s="6" t="n"/>
    </row>
    <row r="25">
      <c r="E25" s="6" t="n"/>
      <c r="G25" s="6" t="n"/>
      <c r="I25" s="6" t="n"/>
      <c r="K25" s="6" t="n"/>
      <c r="M25" s="6" t="n"/>
    </row>
    <row r="26">
      <c r="A26" s="27" t="inlineStr">
        <is>
          <t>TOTAL SCORES</t>
        </is>
      </c>
      <c r="B26" s="27" t="n"/>
      <c r="C26" s="28">
        <f>SUM(C15*0.6, B23*0.4)</f>
        <v/>
      </c>
      <c r="D26" s="27" t="n"/>
      <c r="E26" s="28">
        <f>SUM(E15*0.6, E23*0.4)</f>
        <v/>
      </c>
      <c r="F26" s="28" t="n"/>
      <c r="G26" s="28">
        <f>SUM(G15*0.6, G23*0.4)</f>
        <v/>
      </c>
      <c r="H26" s="28" t="n"/>
      <c r="I26" s="28">
        <f>SUM(I15*0.5, I23*0.5)</f>
        <v/>
      </c>
      <c r="J26" s="28" t="n"/>
      <c r="K26" s="28">
        <f>SUM(K15*0.4, K23*0.6)</f>
        <v/>
      </c>
      <c r="L26" s="28" t="n"/>
      <c r="M26" s="28">
        <f>SUM(M15*0.3, M23*0.7)</f>
        <v/>
      </c>
    </row>
    <row r="27">
      <c r="E27" s="6" t="n"/>
      <c r="G27" s="6" t="n"/>
      <c r="I27" s="6" t="n"/>
      <c r="K27" s="6" t="n"/>
      <c r="M27" s="6" t="n"/>
    </row>
    <row r="28">
      <c r="E28" s="6" t="n"/>
      <c r="G28" s="6" t="n"/>
      <c r="I28" s="6" t="n"/>
      <c r="K28" s="6" t="n"/>
      <c r="M28" s="6" t="n"/>
    </row>
    <row r="29">
      <c r="E29" s="6" t="n"/>
      <c r="G29" s="6" t="n"/>
      <c r="I29" s="6" t="n"/>
      <c r="K29" s="6" t="n"/>
      <c r="M29" s="6"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N30"/>
  <sheetViews>
    <sheetView workbookViewId="0">
      <pane ySplit="1" topLeftCell="A2" activePane="bottomLeft" state="frozen"/>
      <selection pane="bottomLeft" activeCell="N12" sqref="N12"/>
    </sheetView>
  </sheetViews>
  <sheetFormatPr baseColWidth="8" defaultRowHeight="14.5"/>
  <cols>
    <col width="50.7265625" customWidth="1" style="47" min="1" max="1"/>
    <col width="7.81640625" customWidth="1" style="47" min="2" max="2"/>
    <col width="9.1796875" customWidth="1" style="47" min="3" max="3"/>
    <col width="8.1796875" customWidth="1" style="47" min="4" max="4"/>
    <col width="7.54296875" customWidth="1" style="6" min="5" max="5"/>
    <col width="7.81640625" customWidth="1" style="47" min="6" max="6"/>
    <col width="6.453125" customWidth="1" style="6" min="7" max="7"/>
    <col width="7.81640625" customWidth="1" style="47" min="8" max="8"/>
    <col width="8.81640625" customWidth="1" style="6" min="9" max="9"/>
    <col width="8.7265625" customWidth="1" style="6" min="11" max="11"/>
    <col width="8.7265625" customWidth="1" style="6" min="13" max="13"/>
    <col width="59.7265625" customWidth="1" style="47" min="14" max="14"/>
  </cols>
  <sheetData>
    <row r="1">
      <c r="A1" s="1" t="inlineStr">
        <is>
          <t>Measure</t>
        </is>
      </c>
      <c r="B1" s="2" t="inlineStr">
        <is>
          <t>EXAMPLE</t>
        </is>
      </c>
      <c r="C1" s="2" t="n"/>
      <c r="D1" s="3" t="inlineStr">
        <is>
          <t>Y1</t>
        </is>
      </c>
      <c r="E1" s="4" t="n"/>
      <c r="F1" s="5" t="inlineStr">
        <is>
          <t>Y2</t>
        </is>
      </c>
      <c r="G1" s="4" t="n"/>
      <c r="H1" s="5" t="inlineStr">
        <is>
          <t>Y3</t>
        </is>
      </c>
      <c r="I1" s="4" t="n"/>
      <c r="J1" s="5" t="inlineStr">
        <is>
          <t>Y4</t>
        </is>
      </c>
      <c r="K1" s="4" t="n"/>
      <c r="L1" s="5" t="inlineStr">
        <is>
          <t>Y5</t>
        </is>
      </c>
      <c r="N1" s="5" t="inlineStr">
        <is>
          <t>Notes</t>
        </is>
      </c>
    </row>
    <row r="2">
      <c r="A2" s="1" t="inlineStr">
        <is>
          <t>[Note redacted for anonymization]</t>
        </is>
      </c>
      <c r="B2" s="2" t="n"/>
      <c r="C2" s="2" t="n"/>
      <c r="D2" s="7" t="n"/>
      <c r="E2" s="8" t="n"/>
      <c r="F2" s="7" t="n"/>
      <c r="G2" s="8" t="n"/>
      <c r="H2" s="7" t="n"/>
      <c r="I2" s="8" t="n"/>
      <c r="J2" s="7" t="n"/>
      <c r="K2" s="8" t="n"/>
      <c r="L2" s="7" t="n"/>
      <c r="N2" s="7" t="n"/>
    </row>
    <row r="3">
      <c r="A3" s="9" t="inlineStr">
        <is>
          <t>Financial, LAB &gt;70%</t>
        </is>
      </c>
      <c r="B3" s="10" t="inlineStr">
        <is>
          <t>A</t>
        </is>
      </c>
      <c r="C3" s="11">
        <f>IF(B3="A",1,IF(B3="B",0.75,IF(B3="C",0.5,IF(B3="F",0))))</f>
        <v/>
      </c>
      <c r="D3" s="12" t="inlineStr">
        <is>
          <t>B</t>
        </is>
      </c>
      <c r="E3" s="6">
        <f>IF(D3="A",1,IF(D3="B",0.75,IF(D3="C",0.5,IF(D3="F",0))))</f>
        <v/>
      </c>
      <c r="F3" s="12" t="n"/>
      <c r="G3" s="6">
        <f>IF(F3="A",1,IF(F3="B",0.75,IF(F3="C",0.5,IF(F3="F",0))))</f>
        <v/>
      </c>
      <c r="H3" s="12" t="n"/>
      <c r="I3" s="6">
        <f>IF(H3="A",1,IF(H3="B",0.75,IF(H3="C",0.5,IF(H3="F",0))))</f>
        <v/>
      </c>
      <c r="J3" s="12" t="n"/>
      <c r="K3" s="6">
        <f>IF(J3="A",1,IF(J3="B",0.75,IF(J3="C",0.5,IF(J3="F",0))))</f>
        <v/>
      </c>
      <c r="L3" s="12" t="n"/>
      <c r="M3" s="6">
        <f>IF(L3="A",1,IF(L3="B",0.75,IF(L3="C",0.5,IF(L3="F",0))))</f>
        <v/>
      </c>
      <c r="N3" t="inlineStr">
        <is>
          <t>[Note redacted for anonymization]</t>
        </is>
      </c>
    </row>
    <row r="4">
      <c r="B4" s="2" t="n"/>
      <c r="C4" s="11" t="n"/>
    </row>
    <row r="5">
      <c r="A5" s="9" t="inlineStr">
        <is>
          <t>Financial, Excessive Drawdowns</t>
        </is>
      </c>
      <c r="B5" s="10" t="inlineStr">
        <is>
          <t>F</t>
        </is>
      </c>
      <c r="C5" s="11">
        <f>IF(B5="A",1,IF(B5="B",0.75,IF(B5="C",0.5,IF(B5="F",0))))</f>
        <v/>
      </c>
      <c r="D5" s="12" t="inlineStr">
        <is>
          <t>A</t>
        </is>
      </c>
      <c r="E5" s="6">
        <f>IF(D5="A",1,IF(D5="B",0.75,IF(D5="C",0.5,IF(D5="F",0))))</f>
        <v/>
      </c>
      <c r="F5" s="12" t="n"/>
      <c r="G5" s="6">
        <f>IF(F5="A",1,IF(F5="B",0.75,IF(F5="C",0.5,IF(F5="F",0))))</f>
        <v/>
      </c>
      <c r="H5" s="12" t="n"/>
      <c r="I5" s="6">
        <f>IF(H5="A",1,IF(H5="B",0.75,IF(H5="C",0.5,IF(H5="F",0))))</f>
        <v/>
      </c>
      <c r="J5" s="12" t="n"/>
      <c r="K5" s="6">
        <f>IF(J5="A",1,IF(J5="B",0.75,IF(J5="C",0.5,IF(J5="F",0))))</f>
        <v/>
      </c>
      <c r="L5" s="12" t="n"/>
      <c r="M5" s="6">
        <f>IF(L5="A",1,IF(L5="B",0.75,IF(L5="C",0.5,IF(L5="F",0))))</f>
        <v/>
      </c>
    </row>
    <row r="6">
      <c r="B6" s="2" t="n"/>
      <c r="C6" s="11" t="n"/>
    </row>
    <row r="7">
      <c r="A7" s="9" t="inlineStr">
        <is>
          <t>Performance, PD changes or staffing turnover</t>
        </is>
      </c>
      <c r="B7" s="10" t="inlineStr">
        <is>
          <t>A</t>
        </is>
      </c>
      <c r="C7" s="11">
        <f>IF(B7="A",1,IF(B7="B",0.75,IF(B7="C",0.5,IF(B7="F",0))))</f>
        <v/>
      </c>
      <c r="D7" s="12" t="inlineStr">
        <is>
          <t>A</t>
        </is>
      </c>
      <c r="E7" s="6">
        <f>IF(D7="A",1,IF(D7="B",0.75,IF(D7="C",0.5,IF(D7="F",0))))</f>
        <v/>
      </c>
      <c r="F7" s="12" t="n"/>
      <c r="G7" s="6">
        <f>IF(F7="A",1,IF(F7="B",0.75,IF(F7="C",0.5,IF(F7="F",0))))</f>
        <v/>
      </c>
      <c r="H7" s="12" t="n"/>
      <c r="I7" s="6">
        <f>IF(H7="A",1,IF(H7="B",0.75,IF(H7="C",0.5,IF(H7="F",0))))</f>
        <v/>
      </c>
      <c r="J7" s="12" t="n"/>
      <c r="K7" s="6">
        <f>IF(J7="A",1,IF(J7="B",0.75,IF(J7="C",0.5,IF(J7="F",0))))</f>
        <v/>
      </c>
      <c r="L7" s="12" t="n"/>
      <c r="M7" s="6">
        <f>IF(L7="A",1,IF(L7="B",0.75,IF(L7="C",0.5,IF(L7="F",0))))</f>
        <v/>
      </c>
      <c r="N7" t="inlineStr">
        <is>
          <t>[Note redacted for anonymization]</t>
        </is>
      </c>
    </row>
    <row r="8">
      <c r="B8" s="2" t="n"/>
      <c r="C8" s="11" t="n"/>
    </row>
    <row r="9">
      <c r="A9" s="9" t="inlineStr">
        <is>
          <t>Performance, other</t>
        </is>
      </c>
      <c r="B9" s="10" t="inlineStr">
        <is>
          <t>B</t>
        </is>
      </c>
      <c r="C9" s="11">
        <f>IF(B9="A",1,IF(B9="B",0.75,IF(B9="C",0.5,IF(B9="F",0))))</f>
        <v/>
      </c>
      <c r="D9" s="12" t="inlineStr">
        <is>
          <t>A</t>
        </is>
      </c>
      <c r="E9" s="6">
        <f>IF(D9="A",1,IF(D9="B",0.75,IF(D9="C",0.5,IF(D9="F",0))))</f>
        <v/>
      </c>
      <c r="F9" s="12" t="n"/>
      <c r="G9" s="6">
        <f>IF(F9="A",1,IF(F9="B",0.75,IF(F9="C",0.5,IF(F9="F",0))))</f>
        <v/>
      </c>
      <c r="H9" s="12" t="n"/>
      <c r="I9" s="6">
        <f>IF(H9="A",1,IF(H9="B",0.75,IF(H9="C",0.5,IF(H9="F",0))))</f>
        <v/>
      </c>
      <c r="J9" s="12" t="n"/>
      <c r="K9" s="6">
        <f>IF(J9="A",1,IF(J9="B",0.75,IF(J9="C",0.5,IF(J9="F",0))))</f>
        <v/>
      </c>
      <c r="L9" s="12" t="n"/>
      <c r="M9" s="6">
        <f>IF(L9="A",1,IF(L9="B",0.75,IF(L9="C",0.5,IF(L9="F",0))))</f>
        <v/>
      </c>
      <c r="N9" t="inlineStr">
        <is>
          <t>[Note redacted for anonymization]</t>
        </is>
      </c>
    </row>
    <row r="10">
      <c r="B10" s="2" t="n"/>
      <c r="C10" s="11" t="n"/>
    </row>
    <row r="11" ht="29" customHeight="1" s="47">
      <c r="A11" s="13" t="inlineStr">
        <is>
          <t>Internal controls (could include financial adjustments, lack of drawdowns)</t>
        </is>
      </c>
      <c r="B11" s="10" t="inlineStr">
        <is>
          <t>C</t>
        </is>
      </c>
      <c r="C11" s="11">
        <f>IF(B11="A",1,IF(B11="B",0.75,IF(B11="C",0.5,IF(B11="F",0))))</f>
        <v/>
      </c>
      <c r="D11" s="12" t="inlineStr">
        <is>
          <t>A</t>
        </is>
      </c>
      <c r="E11" s="6">
        <f>IF(D11="A",1,IF(D11="B",0.75,IF(D11="C",0.5,IF(D11="F",0))))</f>
        <v/>
      </c>
      <c r="F11" s="12" t="n"/>
      <c r="G11" s="6">
        <f>IF(F11="A",1,IF(F11="B",0.75,IF(F11="C",0.5,IF(F11="F",0))))</f>
        <v/>
      </c>
      <c r="H11" s="12" t="n"/>
      <c r="I11" s="6">
        <f>IF(H11="A",1,IF(H11="B",0.75,IF(H11="C",0.5,IF(H11="F",0))))</f>
        <v/>
      </c>
      <c r="J11" s="12" t="n"/>
      <c r="K11" s="6">
        <f>IF(J11="A",1,IF(J11="B",0.75,IF(J11="C",0.5,IF(J11="F",0))))</f>
        <v/>
      </c>
      <c r="L11" s="12" t="n"/>
      <c r="M11" s="6">
        <f>IF(L11="A",1,IF(L11="B",0.75,IF(L11="C",0.5,IF(L11="F",0))))</f>
        <v/>
      </c>
    </row>
    <row r="12">
      <c r="B12" s="2" t="n"/>
      <c r="C12" s="11" t="n"/>
    </row>
    <row r="13">
      <c r="A13" t="inlineStr">
        <is>
          <t>Conditions</t>
        </is>
      </c>
      <c r="B13" s="10" t="inlineStr">
        <is>
          <t>A</t>
        </is>
      </c>
      <c r="C13" s="11">
        <f>IF(B13="A",1,IF(B13="B",0.75,IF(B13="C",0.5,IF(B13="F",0))))</f>
        <v/>
      </c>
      <c r="D13" s="12" t="inlineStr">
        <is>
          <t>A</t>
        </is>
      </c>
      <c r="E13" s="6">
        <f>IF(D13="A",1,IF(D13="B",0.75,IF(D13="C",0.5,IF(D13="F",0))))</f>
        <v/>
      </c>
      <c r="F13" s="12" t="n"/>
      <c r="G13" s="6">
        <f>IF(F13="A",1,IF(F13="B",0.75,IF(F13="C",0.5,IF(F13="F",0))))</f>
        <v/>
      </c>
      <c r="H13" s="12" t="n"/>
      <c r="I13" s="6">
        <f>IF(H13="A",1,IF(H13="B",0.75,IF(H13="C",0.5,IF(H13="F",0))))</f>
        <v/>
      </c>
      <c r="J13" s="12" t="n"/>
      <c r="K13" s="6">
        <f>IF(J13="A",1,IF(J13="B",0.75,IF(J13="C",0.5,IF(J13="F",0))))</f>
        <v/>
      </c>
      <c r="L13" s="12" t="n"/>
      <c r="M13" s="6">
        <f>IF(L13="A",1,IF(L13="B",0.75,IF(L13="C",0.5,IF(L13="F",0))))</f>
        <v/>
      </c>
    </row>
    <row r="14"/>
    <row r="15">
      <c r="A15" s="14" t="inlineStr">
        <is>
          <t>TOTAL SCORE ADMINISTRATIVE</t>
        </is>
      </c>
      <c r="B15" s="14" t="n"/>
      <c r="C15" s="15">
        <f>SUM(C3*0.1, C5*0.1, C7*0.1, C9*0.5,C11*0.1,C13*0.1)</f>
        <v/>
      </c>
      <c r="D15" s="15" t="n"/>
      <c r="E15" s="15">
        <f>SUM(E3*0.1, E5*0.1, E7*0.1, E9*0.55,E11*0.1,E13*0.05)</f>
        <v/>
      </c>
      <c r="F15" s="15" t="n"/>
      <c r="G15" s="15">
        <f>SUM(G3*0.1, G5*0.1, G7*0.1, G9*0.55,G11*0.1,G13*0.05)</f>
        <v/>
      </c>
      <c r="H15" s="15" t="n"/>
      <c r="I15" s="15">
        <f>SUM(I3*0.1, I5*0.1, I7*0.1, I9*0.55,I11*0.1,I13*0.05)</f>
        <v/>
      </c>
      <c r="J15" s="15" t="n"/>
      <c r="K15" s="15">
        <f>SUM(K3*0.1, K5*0.1, K7*0.1, K9*0.55,K11*0.1,K13*0.05)</f>
        <v/>
      </c>
      <c r="L15" s="15" t="n"/>
      <c r="M15" s="15">
        <f>SUM(M3*0.2, M5*0.1, M7*0.1, M9*0.55,M11*0.05)</f>
        <v/>
      </c>
    </row>
    <row r="16">
      <c r="A16" s="1" t="n"/>
      <c r="B16" s="1" t="n"/>
      <c r="C16" s="1" t="n"/>
      <c r="D16" s="1" t="n"/>
      <c r="E16" s="16" t="n"/>
      <c r="F16" s="1" t="n"/>
      <c r="G16" s="16" t="n"/>
      <c r="H16" s="1" t="n"/>
      <c r="I16" s="16" t="n"/>
      <c r="J16" s="1" t="n"/>
      <c r="K16" s="16" t="n"/>
      <c r="L16" s="1" t="n"/>
      <c r="M16" s="16" t="n"/>
    </row>
    <row r="17">
      <c r="A17" s="1" t="inlineStr">
        <is>
          <t>GPRA MEASURES</t>
        </is>
      </c>
    </row>
    <row r="18">
      <c r="A18" s="17" t="inlineStr">
        <is>
          <t>GPRA 1: TRAINING</t>
        </is>
      </c>
      <c r="B18" s="2" t="n"/>
      <c r="C18" s="18" t="n"/>
      <c r="D18" s="18" t="n"/>
      <c r="E18" s="19" t="n">
        <v>1</v>
      </c>
      <c r="F18" s="20" t="n"/>
      <c r="G18" s="19" t="n"/>
      <c r="H18" s="20" t="n"/>
      <c r="I18" s="19" t="n"/>
      <c r="J18" s="20" t="n"/>
      <c r="K18" s="19" t="n"/>
      <c r="L18" s="20" t="n"/>
      <c r="M18" s="19" t="n"/>
    </row>
    <row r="19">
      <c r="A19" s="63" t="inlineStr">
        <is>
          <t>[Note redacted for anonymization]</t>
        </is>
      </c>
      <c r="B19" s="10" t="n">
        <v>1</v>
      </c>
      <c r="C19" s="18" t="n"/>
      <c r="D19" s="18" t="n"/>
      <c r="E19" s="26" t="n">
        <v>1</v>
      </c>
      <c r="F19" s="24" t="n"/>
      <c r="G19" s="26" t="n"/>
      <c r="H19" s="24" t="n"/>
      <c r="I19" s="26" t="n"/>
      <c r="J19" s="24" t="n"/>
      <c r="K19" s="26" t="n"/>
      <c r="L19" s="24" t="n"/>
      <c r="M19" s="26" t="n"/>
    </row>
    <row r="20" ht="16" customHeight="1" s="47">
      <c r="A20" s="63" t="inlineStr">
        <is>
          <t>[Note redacted for anonymization]</t>
        </is>
      </c>
      <c r="B20" s="12" t="n">
        <v>1</v>
      </c>
      <c r="C20" s="18" t="n"/>
      <c r="D20" s="18" t="n"/>
      <c r="E20" s="26" t="n">
        <v>1</v>
      </c>
      <c r="F20" s="24" t="n"/>
      <c r="G20" s="26" t="n"/>
      <c r="H20" s="24" t="n"/>
      <c r="I20" s="26" t="n"/>
      <c r="J20" s="24" t="n"/>
      <c r="K20" s="26" t="n"/>
      <c r="L20" s="24" t="n"/>
      <c r="M20" s="26" t="n"/>
    </row>
    <row r="21">
      <c r="A21" s="18" t="n"/>
      <c r="B21" s="22" t="n"/>
      <c r="C21" s="18" t="n"/>
      <c r="D21" s="18" t="n"/>
      <c r="E21" s="23" t="n"/>
      <c r="F21" s="24" t="n"/>
      <c r="G21" s="23" t="n"/>
      <c r="H21" s="24" t="n"/>
      <c r="I21" s="23" t="n"/>
      <c r="J21" s="24" t="n"/>
      <c r="K21" s="23" t="n"/>
      <c r="L21" s="24" t="n"/>
      <c r="M21" s="23" t="n"/>
    </row>
    <row r="22">
      <c r="A22" s="21" t="inlineStr">
        <is>
          <t>GPRA 2: Placement</t>
        </is>
      </c>
      <c r="B22" s="22" t="n"/>
      <c r="C22" s="18" t="n"/>
      <c r="D22" s="18" t="n"/>
      <c r="E22" s="23" t="n">
        <v>1</v>
      </c>
      <c r="F22" s="24" t="n"/>
      <c r="G22" s="23" t="n"/>
      <c r="H22" s="24" t="n"/>
      <c r="I22" s="23" t="n"/>
      <c r="J22" s="24" t="n"/>
      <c r="K22" s="23" t="n"/>
      <c r="L22" s="24" t="n"/>
      <c r="M22" s="23" t="n"/>
    </row>
    <row r="23">
      <c r="A23" s="64" t="inlineStr">
        <is>
          <t>GPRA 2a: Placement</t>
        </is>
      </c>
      <c r="B23" s="10" t="n">
        <v>1</v>
      </c>
      <c r="C23" s="18" t="n"/>
      <c r="D23" s="18" t="n"/>
      <c r="E23" s="26" t="n">
        <v>1</v>
      </c>
      <c r="F23" s="24" t="n"/>
      <c r="G23" s="26" t="n"/>
      <c r="H23" s="24" t="n"/>
      <c r="I23" s="26" t="n"/>
      <c r="J23" s="24" t="n"/>
      <c r="K23" s="26" t="n"/>
      <c r="L23" s="24" t="n"/>
      <c r="M23" s="26" t="n"/>
    </row>
    <row r="24">
      <c r="A24" s="64" t="inlineStr">
        <is>
          <t>GPRA 2b: Placed</t>
        </is>
      </c>
      <c r="B24" s="12" t="n">
        <v>1</v>
      </c>
      <c r="C24" s="18" t="n"/>
      <c r="D24" s="18" t="n"/>
      <c r="E24" s="26" t="n">
        <v>1</v>
      </c>
      <c r="F24" s="24" t="n"/>
      <c r="G24" s="26" t="n"/>
      <c r="H24" s="24" t="n"/>
      <c r="I24" s="26" t="n"/>
      <c r="J24" s="24" t="n"/>
      <c r="K24" s="26" t="n"/>
      <c r="L24" s="24" t="n"/>
      <c r="M24" s="26" t="n"/>
    </row>
    <row r="25">
      <c r="A25" s="18" t="n"/>
      <c r="B25" s="22" t="n"/>
      <c r="C25" s="18" t="n"/>
      <c r="D25" s="18" t="n"/>
      <c r="E25" s="23" t="n"/>
      <c r="F25" s="24" t="n"/>
      <c r="G25" s="23" t="n"/>
      <c r="H25" s="24" t="n"/>
      <c r="I25" s="23" t="n"/>
      <c r="J25" s="24" t="n"/>
      <c r="K25" s="23" t="n"/>
      <c r="L25" s="24" t="n"/>
      <c r="M25" s="23" t="n"/>
    </row>
    <row r="26">
      <c r="A26" s="25" t="inlineStr">
        <is>
          <t>GPRA 3: HIRED</t>
        </is>
      </c>
      <c r="B26" s="12" t="n">
        <v>1</v>
      </c>
      <c r="C26" s="18" t="n"/>
      <c r="D26" s="18" t="n"/>
      <c r="E26" s="26" t="n">
        <v>1</v>
      </c>
      <c r="F26" s="24" t="n"/>
      <c r="G26" s="26" t="n"/>
      <c r="H26" s="24" t="n"/>
      <c r="I26" s="26" t="n"/>
      <c r="J26" s="24" t="n"/>
      <c r="K26" s="26" t="n"/>
      <c r="L26" s="24" t="n"/>
      <c r="M26" s="26" t="n"/>
    </row>
    <row r="27">
      <c r="A27" s="15" t="inlineStr">
        <is>
          <t>TOTAL SCORE GPRA</t>
        </is>
      </c>
      <c r="B27" s="15">
        <f>SUM(B19*0.2, B20*0.4, B23*0.1, B24*0.1, B26*0.2)</f>
        <v/>
      </c>
      <c r="C27" s="15" t="n"/>
      <c r="D27" s="15" t="n"/>
      <c r="E27" s="15">
        <f>SUM(E19*0.2, E20*0.4, E23*0.1, E24*0.1, E26*0.2)</f>
        <v/>
      </c>
      <c r="F27" s="15" t="n"/>
      <c r="G27" s="15">
        <f>SUM(G19*0.2, G20*0.4, G23*0.1, G24*0.1, G26*0.2)</f>
        <v/>
      </c>
      <c r="H27" s="15" t="n"/>
      <c r="I27" s="15">
        <f>SUM(I19*0.3, I20*0.2, I23*0.2, I24*0.1, I26*0.2)</f>
        <v/>
      </c>
      <c r="J27" s="15" t="n"/>
      <c r="K27" s="15">
        <f>SUM(K19*0.2, K20*0.2, K23*0.2, K24*0.2, K26*0.2)</f>
        <v/>
      </c>
      <c r="L27" s="15" t="n"/>
      <c r="M27" s="15">
        <f>SUM(M19*0.1, M20*0.1, M23*0.2, M24*0.2, M26*0.4)</f>
        <v/>
      </c>
    </row>
    <row r="28"/>
    <row r="29"/>
    <row r="30">
      <c r="A30" s="27" t="inlineStr">
        <is>
          <t>TOTAL SCORES</t>
        </is>
      </c>
      <c r="B30" s="27" t="n"/>
      <c r="C30" s="28">
        <f>SUM(C15*0.6, B27*0.4)</f>
        <v/>
      </c>
      <c r="D30" s="27" t="n"/>
      <c r="E30" s="28">
        <f>SUM(E15*0.6, E27*0.4)</f>
        <v/>
      </c>
      <c r="F30" s="28" t="n"/>
      <c r="G30" s="28">
        <f>SUM(G15*0.6, G27*0.4)</f>
        <v/>
      </c>
      <c r="H30" s="28" t="n"/>
      <c r="I30" s="28">
        <f>SUM(I15*0.5, I27*0.5)</f>
        <v/>
      </c>
      <c r="J30" s="28" t="n"/>
      <c r="K30" s="28">
        <f>SUM(K15*0.4, K27*0.6)</f>
        <v/>
      </c>
      <c r="L30" s="28" t="n"/>
      <c r="M30" s="28">
        <f>SUM(M15*0.3, M27*0.7)</f>
        <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N30"/>
  <sheetViews>
    <sheetView tabSelected="1" workbookViewId="0">
      <pane ySplit="1" topLeftCell="A2" activePane="bottomLeft" state="frozen"/>
      <selection pane="bottomLeft" activeCell="D10" sqref="D10"/>
    </sheetView>
  </sheetViews>
  <sheetFormatPr baseColWidth="8" defaultRowHeight="14.5"/>
  <cols>
    <col width="50.7265625" customWidth="1" style="47" min="1" max="1"/>
    <col width="7.81640625" customWidth="1" style="47" min="2" max="2"/>
    <col width="9.1796875" customWidth="1" style="47" min="3" max="3"/>
    <col width="8.1796875" customWidth="1" style="47" min="4" max="4"/>
    <col width="7.54296875" customWidth="1" style="6" min="5" max="5"/>
    <col width="7.81640625" customWidth="1" style="47" min="6" max="6"/>
    <col width="6.453125" customWidth="1" style="6" min="7" max="7"/>
    <col width="7.81640625" customWidth="1" style="47" min="8" max="8"/>
    <col width="8.81640625" customWidth="1" style="6" min="9" max="9"/>
    <col width="8.7265625" customWidth="1" style="6" min="11" max="11"/>
    <col width="8.7265625" customWidth="1" style="6" min="13" max="13"/>
    <col width="59.7265625" customWidth="1" style="47" min="14" max="14"/>
  </cols>
  <sheetData>
    <row r="1">
      <c r="A1" s="1" t="inlineStr">
        <is>
          <t>Measure</t>
        </is>
      </c>
      <c r="B1" s="2" t="inlineStr">
        <is>
          <t>EXAMPLE</t>
        </is>
      </c>
      <c r="C1" s="2" t="n"/>
      <c r="D1" s="3" t="inlineStr">
        <is>
          <t>Y1</t>
        </is>
      </c>
      <c r="E1" s="4" t="n"/>
      <c r="F1" s="5" t="inlineStr">
        <is>
          <t>Y2</t>
        </is>
      </c>
      <c r="G1" s="4" t="n"/>
      <c r="H1" s="5" t="inlineStr">
        <is>
          <t>Y3</t>
        </is>
      </c>
      <c r="I1" s="4" t="n"/>
      <c r="J1" s="5" t="inlineStr">
        <is>
          <t>Y4</t>
        </is>
      </c>
      <c r="K1" s="4" t="n"/>
      <c r="L1" s="5" t="inlineStr">
        <is>
          <t>Y5</t>
        </is>
      </c>
      <c r="N1" s="5" t="inlineStr">
        <is>
          <t>Notes</t>
        </is>
      </c>
    </row>
    <row r="2">
      <c r="A2" s="1" t="inlineStr">
        <is>
          <t>[Note redacted for anonymization]</t>
        </is>
      </c>
      <c r="B2" s="2" t="n"/>
      <c r="C2" s="2" t="n"/>
      <c r="D2" s="7" t="n"/>
      <c r="E2" s="8" t="n"/>
      <c r="F2" s="7" t="n"/>
      <c r="G2" s="8" t="n"/>
      <c r="H2" s="7" t="n"/>
      <c r="I2" s="8" t="n"/>
      <c r="J2" s="7" t="n"/>
      <c r="K2" s="8" t="n"/>
      <c r="L2" s="7" t="n"/>
      <c r="N2" s="7" t="n"/>
    </row>
    <row r="3">
      <c r="A3" s="9" t="inlineStr">
        <is>
          <t>Financial, LAB &gt;70%</t>
        </is>
      </c>
      <c r="B3" s="10" t="inlineStr">
        <is>
          <t>A</t>
        </is>
      </c>
      <c r="C3" s="11">
        <f>IF(B3="A",1,IF(B3="B",0.75,IF(B3="C",0.5,IF(B3="F",0))))</f>
        <v/>
      </c>
      <c r="D3" s="12" t="inlineStr">
        <is>
          <t>B</t>
        </is>
      </c>
      <c r="E3" s="6">
        <f>IF(D3="A",1,IF(D3="B",0.75,IF(D3="C",0.5,IF(D3="F",0))))</f>
        <v/>
      </c>
      <c r="F3" s="12" t="n"/>
      <c r="G3" s="6">
        <f>IF(F3="A",1,IF(F3="B",0.75,IF(F3="C",0.5,IF(F3="F",0))))</f>
        <v/>
      </c>
      <c r="H3" s="12" t="n"/>
      <c r="I3" s="6">
        <f>IF(H3="A",1,IF(H3="B",0.75,IF(H3="C",0.5,IF(H3="F",0))))</f>
        <v/>
      </c>
      <c r="J3" s="12" t="n"/>
      <c r="K3" s="6">
        <f>IF(J3="A",1,IF(J3="B",0.75,IF(J3="C",0.5,IF(J3="F",0))))</f>
        <v/>
      </c>
      <c r="L3" s="12" t="n"/>
      <c r="M3" s="6">
        <f>IF(L3="A",1,IF(L3="B",0.75,IF(L3="C",0.5,IF(L3="F",0))))</f>
        <v/>
      </c>
      <c r="N3" t="inlineStr">
        <is>
          <t>[Note redacted for anonymization]</t>
        </is>
      </c>
    </row>
    <row r="4">
      <c r="B4" s="2" t="n"/>
      <c r="C4" s="11" t="n"/>
    </row>
    <row r="5">
      <c r="A5" s="9" t="inlineStr">
        <is>
          <t>Financial, Excessive Drawdowns</t>
        </is>
      </c>
      <c r="B5" s="10" t="inlineStr">
        <is>
          <t>F</t>
        </is>
      </c>
      <c r="C5" s="11">
        <f>IF(B5="A",1,IF(B5="B",0.75,IF(B5="C",0.5,IF(B5="F",0))))</f>
        <v/>
      </c>
      <c r="D5" s="12" t="inlineStr">
        <is>
          <t>A</t>
        </is>
      </c>
      <c r="E5" s="6">
        <f>IF(D5="A",1,IF(D5="B",0.75,IF(D5="C",0.5,IF(D5="F",0))))</f>
        <v/>
      </c>
      <c r="F5" s="12" t="n"/>
      <c r="G5" s="6">
        <f>IF(F5="A",1,IF(F5="B",0.75,IF(F5="C",0.5,IF(F5="F",0))))</f>
        <v/>
      </c>
      <c r="H5" s="12" t="n"/>
      <c r="I5" s="6">
        <f>IF(H5="A",1,IF(H5="B",0.75,IF(H5="C",0.5,IF(H5="F",0))))</f>
        <v/>
      </c>
      <c r="J5" s="12" t="n"/>
      <c r="K5" s="6">
        <f>IF(J5="A",1,IF(J5="B",0.75,IF(J5="C",0.5,IF(J5="F",0))))</f>
        <v/>
      </c>
      <c r="L5" s="12" t="n"/>
      <c r="M5" s="6">
        <f>IF(L5="A",1,IF(L5="B",0.75,IF(L5="C",0.5,IF(L5="F",0))))</f>
        <v/>
      </c>
    </row>
    <row r="6">
      <c r="B6" s="2" t="n"/>
      <c r="C6" s="11" t="n"/>
    </row>
    <row r="7">
      <c r="A7" s="9" t="inlineStr">
        <is>
          <t>Performance, PD changes or staffing turnover</t>
        </is>
      </c>
      <c r="B7" s="10" t="inlineStr">
        <is>
          <t>A</t>
        </is>
      </c>
      <c r="C7" s="11">
        <f>IF(B7="A",1,IF(B7="B",0.75,IF(B7="C",0.5,IF(B7="F",0))))</f>
        <v/>
      </c>
      <c r="D7" s="12" t="inlineStr">
        <is>
          <t>A</t>
        </is>
      </c>
      <c r="E7" s="6">
        <f>IF(D7="A",1,IF(D7="B",0.75,IF(D7="C",0.5,IF(D7="F",0))))</f>
        <v/>
      </c>
      <c r="F7" s="12" t="n"/>
      <c r="G7" s="6">
        <f>IF(F7="A",1,IF(F7="B",0.75,IF(F7="C",0.5,IF(F7="F",0))))</f>
        <v/>
      </c>
      <c r="H7" s="12" t="n"/>
      <c r="I7" s="6">
        <f>IF(H7="A",1,IF(H7="B",0.75,IF(H7="C",0.5,IF(H7="F",0))))</f>
        <v/>
      </c>
      <c r="J7" s="12" t="n"/>
      <c r="K7" s="6">
        <f>IF(J7="A",1,IF(J7="B",0.75,IF(J7="C",0.5,IF(J7="F",0))))</f>
        <v/>
      </c>
      <c r="L7" s="12" t="n"/>
      <c r="M7" s="6">
        <f>IF(L7="A",1,IF(L7="B",0.75,IF(L7="C",0.5,IF(L7="F",0))))</f>
        <v/>
      </c>
    </row>
    <row r="8">
      <c r="B8" s="2" t="n"/>
      <c r="C8" s="11" t="n"/>
    </row>
    <row r="9">
      <c r="A9" s="9" t="inlineStr">
        <is>
          <t>Performance, other</t>
        </is>
      </c>
      <c r="B9" s="10" t="inlineStr">
        <is>
          <t>B</t>
        </is>
      </c>
      <c r="C9" s="11">
        <f>IF(B9="A",1,IF(B9="B",0.75,IF(B9="C",0.5,IF(B9="F",0))))</f>
        <v/>
      </c>
      <c r="D9" s="12" t="inlineStr">
        <is>
          <t>B</t>
        </is>
      </c>
      <c r="E9" s="6">
        <f>IF(D9="A",1,IF(D9="B",0.75,IF(D9="C",0.5,IF(D9="F",0))))</f>
        <v/>
      </c>
      <c r="F9" s="12" t="n"/>
      <c r="G9" s="6">
        <f>IF(F9="A",1,IF(F9="B",0.75,IF(F9="C",0.5,IF(F9="F",0))))</f>
        <v/>
      </c>
      <c r="H9" s="12" t="n"/>
      <c r="I9" s="6">
        <f>IF(H9="A",1,IF(H9="B",0.75,IF(H9="C",0.5,IF(H9="F",0))))</f>
        <v/>
      </c>
      <c r="J9" s="12" t="n"/>
      <c r="K9" s="6">
        <f>IF(J9="A",1,IF(J9="B",0.75,IF(J9="C",0.5,IF(J9="F",0))))</f>
        <v/>
      </c>
      <c r="L9" s="12" t="n"/>
      <c r="M9" s="6">
        <f>IF(L9="A",1,IF(L9="B",0.75,IF(L9="C",0.5,IF(L9="F",0))))</f>
        <v/>
      </c>
      <c r="N9" t="inlineStr">
        <is>
          <t>[Note redacted for anonymization]</t>
        </is>
      </c>
    </row>
    <row r="10">
      <c r="B10" s="2" t="n"/>
      <c r="C10" s="11" t="n"/>
    </row>
    <row r="11" ht="29" customHeight="1" s="47">
      <c r="A11" s="13" t="inlineStr">
        <is>
          <t>Internal controls (could include financial adjustments, lack of drawdowns)</t>
        </is>
      </c>
      <c r="B11" s="10" t="inlineStr">
        <is>
          <t>C</t>
        </is>
      </c>
      <c r="C11" s="11">
        <f>IF(B11="A",1,IF(B11="B",0.75,IF(B11="C",0.5,IF(B11="F",0))))</f>
        <v/>
      </c>
      <c r="D11" s="12" t="inlineStr">
        <is>
          <t>A</t>
        </is>
      </c>
      <c r="E11" s="6">
        <f>IF(D11="A",1,IF(D11="B",0.75,IF(D11="C",0.5,IF(D11="F",0))))</f>
        <v/>
      </c>
      <c r="F11" s="12" t="n"/>
      <c r="G11" s="6">
        <f>IF(F11="A",1,IF(F11="B",0.75,IF(F11="C",0.5,IF(F11="F",0))))</f>
        <v/>
      </c>
      <c r="H11" s="12" t="n"/>
      <c r="I11" s="6">
        <f>IF(H11="A",1,IF(H11="B",0.75,IF(H11="C",0.5,IF(H11="F",0))))</f>
        <v/>
      </c>
      <c r="J11" s="12" t="n"/>
      <c r="K11" s="6">
        <f>IF(J11="A",1,IF(J11="B",0.75,IF(J11="C",0.5,IF(J11="F",0))))</f>
        <v/>
      </c>
      <c r="L11" s="12" t="n"/>
      <c r="M11" s="6">
        <f>IF(L11="A",1,IF(L11="B",0.75,IF(L11="C",0.5,IF(L11="F",0))))</f>
        <v/>
      </c>
    </row>
    <row r="12">
      <c r="B12" s="2" t="n"/>
      <c r="C12" s="11" t="n"/>
    </row>
    <row r="13">
      <c r="A13" t="inlineStr">
        <is>
          <t>Conditions</t>
        </is>
      </c>
      <c r="B13" s="10" t="inlineStr">
        <is>
          <t>A</t>
        </is>
      </c>
      <c r="C13" s="11">
        <f>IF(B13="A",1,IF(B13="B",0.75,IF(B13="C",0.5,IF(B13="F",0))))</f>
        <v/>
      </c>
      <c r="D13" s="12" t="inlineStr">
        <is>
          <t>A</t>
        </is>
      </c>
      <c r="E13" s="6">
        <f>IF(D13="A",1,IF(D13="B",0.75,IF(D13="C",0.5,IF(D13="F",0))))</f>
        <v/>
      </c>
      <c r="F13" s="12" t="n"/>
      <c r="G13" s="6">
        <f>IF(F13="A",1,IF(F13="B",0.75,IF(F13="C",0.5,IF(F13="F",0))))</f>
        <v/>
      </c>
      <c r="H13" s="12" t="n"/>
      <c r="I13" s="6">
        <f>IF(H13="A",1,IF(H13="B",0.75,IF(H13="C",0.5,IF(H13="F",0))))</f>
        <v/>
      </c>
      <c r="J13" s="12" t="n"/>
      <c r="K13" s="6">
        <f>IF(J13="A",1,IF(J13="B",0.75,IF(J13="C",0.5,IF(J13="F",0))))</f>
        <v/>
      </c>
      <c r="L13" s="12" t="n"/>
      <c r="M13" s="6">
        <f>IF(L13="A",1,IF(L13="B",0.75,IF(L13="C",0.5,IF(L13="F",0))))</f>
        <v/>
      </c>
    </row>
    <row r="14"/>
    <row r="15">
      <c r="A15" s="14" t="inlineStr">
        <is>
          <t>TOTAL SCORE ADMINISTRATIVE</t>
        </is>
      </c>
      <c r="B15" s="14" t="n"/>
      <c r="C15" s="15">
        <f>SUM(C3*0.1, C5*0.1, C7*0.1, C9*0.5,C11*0.1,C13*0.1)</f>
        <v/>
      </c>
      <c r="D15" s="15" t="n"/>
      <c r="E15" s="15">
        <f>SUM(E3*0.1, E5*0.1, E7*0.1, E9*0.55,E11*0.1,E13*0.05)</f>
        <v/>
      </c>
      <c r="F15" s="15" t="n"/>
      <c r="G15" s="15">
        <f>SUM(G3*0.1, G5*0.1, G7*0.1, G9*0.55,G11*0.1,G13*0.05)</f>
        <v/>
      </c>
      <c r="H15" s="15" t="n"/>
      <c r="I15" s="15">
        <f>SUM(I3*0.1, I5*0.1, I7*0.1, I9*0.55,I11*0.1,I13*0.05)</f>
        <v/>
      </c>
      <c r="J15" s="15" t="n"/>
      <c r="K15" s="15">
        <f>SUM(K3*0.1, K5*0.1, K7*0.1, K9*0.55,K11*0.1,K13*0.05)</f>
        <v/>
      </c>
      <c r="L15" s="15" t="n"/>
      <c r="M15" s="15">
        <f>SUM(M3*0.2, M5*0.1, M7*0.1, M9*0.55,M11*0.05)</f>
        <v/>
      </c>
    </row>
    <row r="16">
      <c r="A16" s="1" t="n"/>
      <c r="B16" s="1" t="n"/>
      <c r="C16" s="1" t="n"/>
      <c r="D16" s="1" t="n"/>
      <c r="E16" s="16" t="n"/>
      <c r="F16" s="1" t="n"/>
      <c r="G16" s="16" t="n"/>
      <c r="H16" s="1" t="n"/>
      <c r="I16" s="16" t="n"/>
      <c r="J16" s="1" t="n"/>
      <c r="K16" s="16" t="n"/>
      <c r="L16" s="1" t="n"/>
      <c r="M16" s="16" t="n"/>
    </row>
    <row r="17">
      <c r="A17" s="1" t="inlineStr">
        <is>
          <t>GPRA MEASURES</t>
        </is>
      </c>
    </row>
    <row r="18">
      <c r="A18" s="17" t="inlineStr">
        <is>
          <t>GPRA 1: TRAINING</t>
        </is>
      </c>
      <c r="B18" s="2" t="n"/>
      <c r="C18" s="18" t="n"/>
      <c r="D18" s="18" t="n"/>
      <c r="E18" s="19" t="n">
        <v>1</v>
      </c>
      <c r="F18" s="20" t="n"/>
      <c r="G18" s="19" t="n"/>
      <c r="H18" s="20" t="n"/>
      <c r="I18" s="19" t="n"/>
      <c r="J18" s="20" t="n"/>
      <c r="K18" s="19" t="n"/>
      <c r="L18" s="20" t="n"/>
      <c r="M18" s="19" t="n"/>
    </row>
    <row r="19">
      <c r="A19" s="63" t="inlineStr">
        <is>
          <t>[Note redacted for anonymization]</t>
        </is>
      </c>
      <c r="B19" s="10" t="n">
        <v>1</v>
      </c>
      <c r="C19" s="18" t="n"/>
      <c r="D19" s="18" t="n"/>
      <c r="E19" s="26" t="n">
        <v>1</v>
      </c>
      <c r="F19" s="24" t="n"/>
      <c r="G19" s="26" t="n"/>
      <c r="H19" s="24" t="n"/>
      <c r="I19" s="26" t="n"/>
      <c r="J19" s="24" t="n"/>
      <c r="K19" s="26" t="n"/>
      <c r="L19" s="24" t="n"/>
      <c r="M19" s="26" t="n"/>
    </row>
    <row r="20" ht="16" customHeight="1" s="47">
      <c r="A20" s="63" t="inlineStr">
        <is>
          <t>[Note redacted for anonymization]</t>
        </is>
      </c>
      <c r="B20" s="12" t="n">
        <v>1</v>
      </c>
      <c r="C20" s="18" t="n"/>
      <c r="D20" s="18" t="n"/>
      <c r="E20" s="26" t="n">
        <v>1</v>
      </c>
      <c r="F20" s="24" t="n"/>
      <c r="G20" s="26" t="n"/>
      <c r="H20" s="24" t="n"/>
      <c r="I20" s="26" t="n"/>
      <c r="J20" s="24" t="n"/>
      <c r="K20" s="26" t="n"/>
      <c r="L20" s="24" t="n"/>
      <c r="M20" s="26" t="n"/>
    </row>
    <row r="21">
      <c r="A21" s="18" t="n"/>
      <c r="B21" s="22" t="n"/>
      <c r="C21" s="18" t="n"/>
      <c r="D21" s="18" t="n"/>
      <c r="E21" s="23" t="n"/>
      <c r="F21" s="24" t="n"/>
      <c r="G21" s="23" t="n"/>
      <c r="H21" s="24" t="n"/>
      <c r="I21" s="23" t="n"/>
      <c r="J21" s="24" t="n"/>
      <c r="K21" s="23" t="n"/>
      <c r="L21" s="24" t="n"/>
      <c r="M21" s="23" t="n"/>
    </row>
    <row r="22">
      <c r="A22" s="21" t="inlineStr">
        <is>
          <t>GPRA 2: Placement</t>
        </is>
      </c>
      <c r="B22" s="22" t="n"/>
      <c r="C22" s="18" t="n"/>
      <c r="D22" s="18" t="n"/>
      <c r="E22" s="23" t="n">
        <v>1</v>
      </c>
      <c r="F22" s="24" t="n"/>
      <c r="G22" s="23" t="n"/>
      <c r="H22" s="24" t="n"/>
      <c r="I22" s="23" t="n"/>
      <c r="J22" s="24" t="n"/>
      <c r="K22" s="23" t="n"/>
      <c r="L22" s="24" t="n"/>
      <c r="M22" s="23" t="n"/>
    </row>
    <row r="23">
      <c r="A23" s="64" t="inlineStr">
        <is>
          <t>GPRA 2a: Placement</t>
        </is>
      </c>
      <c r="B23" s="10" t="n">
        <v>1</v>
      </c>
      <c r="C23" s="18" t="n"/>
      <c r="D23" s="18" t="n"/>
      <c r="E23" s="26" t="n">
        <v>1</v>
      </c>
      <c r="F23" s="24" t="n"/>
      <c r="G23" s="26" t="n"/>
      <c r="H23" s="24" t="n"/>
      <c r="I23" s="26" t="n"/>
      <c r="J23" s="24" t="n"/>
      <c r="K23" s="26" t="n"/>
      <c r="L23" s="24" t="n"/>
      <c r="M23" s="26" t="n"/>
    </row>
    <row r="24">
      <c r="A24" s="64" t="inlineStr">
        <is>
          <t>GPRA 2b: Placed</t>
        </is>
      </c>
      <c r="B24" s="12" t="n">
        <v>1</v>
      </c>
      <c r="C24" s="18" t="n"/>
      <c r="D24" s="18" t="n"/>
      <c r="E24" s="26" t="n">
        <v>1</v>
      </c>
      <c r="F24" s="24" t="n"/>
      <c r="G24" s="26" t="n"/>
      <c r="H24" s="24" t="n"/>
      <c r="I24" s="26" t="n"/>
      <c r="J24" s="24" t="n"/>
      <c r="K24" s="26" t="n"/>
      <c r="L24" s="24" t="n"/>
      <c r="M24" s="26" t="n"/>
    </row>
    <row r="25">
      <c r="A25" s="18" t="n"/>
      <c r="B25" s="22" t="n"/>
      <c r="C25" s="18" t="n"/>
      <c r="D25" s="18" t="n"/>
      <c r="E25" s="23" t="n"/>
      <c r="F25" s="24" t="n"/>
      <c r="G25" s="23" t="n"/>
      <c r="H25" s="24" t="n"/>
      <c r="I25" s="23" t="n"/>
      <c r="J25" s="24" t="n"/>
      <c r="K25" s="23" t="n"/>
      <c r="L25" s="24" t="n"/>
      <c r="M25" s="23" t="n"/>
    </row>
    <row r="26">
      <c r="A26" s="25" t="inlineStr">
        <is>
          <t>GPRA 3: HIRED</t>
        </is>
      </c>
      <c r="B26" s="12" t="n">
        <v>1</v>
      </c>
      <c r="C26" s="18" t="n"/>
      <c r="D26" s="18" t="n"/>
      <c r="E26" s="26" t="n">
        <v>1</v>
      </c>
      <c r="F26" s="24" t="n"/>
      <c r="G26" s="26" t="n"/>
      <c r="H26" s="24" t="n"/>
      <c r="I26" s="26" t="n"/>
      <c r="J26" s="24" t="n"/>
      <c r="K26" s="26" t="n"/>
      <c r="L26" s="24" t="n"/>
      <c r="M26" s="26" t="n"/>
    </row>
    <row r="27">
      <c r="A27" s="15" t="inlineStr">
        <is>
          <t>TOTAL SCORE GPRA</t>
        </is>
      </c>
      <c r="B27" s="15">
        <f>SUM(B19*0.2, B20*0.4, B23*0.1, B24*0.1, B26*0.2)</f>
        <v/>
      </c>
      <c r="C27" s="15" t="n"/>
      <c r="D27" s="15" t="n"/>
      <c r="E27" s="15">
        <f>SUM(E19*0.2, E20*0.4, E23*0.1, E24*0.1, E26*0.2)</f>
        <v/>
      </c>
      <c r="F27" s="15" t="n"/>
      <c r="G27" s="15">
        <f>SUM(G19*0.2, G20*0.4, G23*0.1, G24*0.1, G26*0.2)</f>
        <v/>
      </c>
      <c r="H27" s="15" t="n"/>
      <c r="I27" s="15">
        <f>SUM(I19*0.3, I20*0.2, I23*0.2, I24*0.1, I26*0.2)</f>
        <v/>
      </c>
      <c r="J27" s="15" t="n"/>
      <c r="K27" s="15">
        <f>SUM(K19*0.2, K20*0.2, K23*0.2, K24*0.2, K26*0.2)</f>
        <v/>
      </c>
      <c r="L27" s="15" t="n"/>
      <c r="M27" s="15">
        <f>SUM(M19*0.1, M20*0.1, M23*0.2, M24*0.2, M26*0.4)</f>
        <v/>
      </c>
    </row>
    <row r="28"/>
    <row r="29"/>
    <row r="30">
      <c r="A30" s="27" t="inlineStr">
        <is>
          <t>TOTAL SCORES</t>
        </is>
      </c>
      <c r="B30" s="27" t="n"/>
      <c r="C30" s="28">
        <f>SUM(C15*0.6, B27*0.4)</f>
        <v/>
      </c>
      <c r="D30" s="27" t="n"/>
      <c r="E30" s="28">
        <f>SUM(E15*0.6, E27*0.4)</f>
        <v/>
      </c>
      <c r="F30" s="28" t="n"/>
      <c r="G30" s="28">
        <f>SUM(G15*0.6, G27*0.4)</f>
        <v/>
      </c>
      <c r="H30" s="28" t="n"/>
      <c r="I30" s="28">
        <f>SUM(I15*0.5, I27*0.5)</f>
        <v/>
      </c>
      <c r="J30" s="28" t="n"/>
      <c r="K30" s="28">
        <f>SUM(K15*0.4, K27*0.6)</f>
        <v/>
      </c>
      <c r="L30" s="28" t="n"/>
      <c r="M30" s="28">
        <f>SUM(M15*0.3, M27*0.7)</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Clerge, Courtney</dc:creator>
  <dcterms:created xmlns:dcterms="http://purl.org/dc/terms/" xmlns:xsi="http://www.w3.org/2001/XMLSchema-instance" xsi:type="dcterms:W3CDTF">2025-08-20T17:18:34Z</dcterms:created>
  <dcterms:modified xmlns:dcterms="http://purl.org/dc/terms/" xmlns:xsi="http://www.w3.org/2001/XMLSchema-instance" xsi:type="dcterms:W3CDTF">2026-03-27T05:06:11Z</dcterms:modified>
  <cp:lastModifiedBy>Clerge, Courtney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0x010100BD4EFC88C5D69F408EA78CB49BAFCE78</vt:lpwstr>
  </property>
</Properties>
</file>