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184H240172" sheetId="1" state="visible" r:id="rId1"/>
    <sheet xmlns:r="http://schemas.openxmlformats.org/officeDocument/2006/relationships" name="S184H240206" sheetId="2" state="visible" r:id="rId2"/>
    <sheet xmlns:r="http://schemas.openxmlformats.org/officeDocument/2006/relationships" name="S184H240330" sheetId="3" state="visible" r:id="rId3"/>
    <sheet xmlns:r="http://schemas.openxmlformats.org/officeDocument/2006/relationships" name="Sheet8" sheetId="4" state="visible" r:id="rId4"/>
    <sheet xmlns:r="http://schemas.openxmlformats.org/officeDocument/2006/relationships" name="Administrative Factors" sheetId="5" state="hidden" r:id="rId5"/>
    <sheet xmlns:r="http://schemas.openxmlformats.org/officeDocument/2006/relationships" name="SBMH- GPRA" sheetId="6" state="hidden" r:id="rId6"/>
    <sheet xmlns:r="http://schemas.openxmlformats.org/officeDocument/2006/relationships" name="MHSP - GPRA" sheetId="7" state="hidden" r:id="rId7"/>
    <sheet xmlns:r="http://schemas.openxmlformats.org/officeDocument/2006/relationships" name="SBMH Substantial Progress" sheetId="8" state="hidden" r:id="rId8"/>
    <sheet xmlns:r="http://schemas.openxmlformats.org/officeDocument/2006/relationships" name="MHSP Substantial Progress" sheetId="9" state="hidden" r:id="rId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11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99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9" fontId="3" fillId="2" borderId="0" pivotButton="0" quotePrefix="0" xfId="1"/>
    <xf numFmtId="9" fontId="0" fillId="0" borderId="0" pivotButton="0" quotePrefix="0" xfId="0"/>
    <xf numFmtId="0" fontId="2" fillId="3" borderId="0" pivotButton="0" quotePrefix="0" xfId="0"/>
    <xf numFmtId="9" fontId="2" fillId="3" borderId="0" pivotButton="0" quotePrefix="0" xfId="1"/>
    <xf numFmtId="0" fontId="0" fillId="2" borderId="0" pivotButton="0" quotePrefix="0" xfId="0"/>
    <xf numFmtId="9" fontId="0" fillId="2" borderId="0" pivotButton="0" quotePrefix="0" xfId="1"/>
    <xf numFmtId="0" fontId="0" fillId="2" borderId="1" pivotButton="0" quotePrefix="0" xfId="0"/>
    <xf numFmtId="9" fontId="0" fillId="2" borderId="1" pivotButton="0" quotePrefix="0" xfId="1"/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8" borderId="0" pivotButton="0" quotePrefix="0" xfId="0"/>
    <xf numFmtId="0" fontId="0" fillId="8" borderId="1" pivotButton="0" quotePrefix="0" xfId="0"/>
    <xf numFmtId="0" fontId="0" fillId="9" borderId="0" pivotButton="0" quotePrefix="0" xfId="0"/>
    <xf numFmtId="9" fontId="0" fillId="2" borderId="0" pivotButton="0" quotePrefix="0" xfId="0"/>
    <xf numFmtId="9" fontId="2" fillId="2" borderId="0" pivotButton="0" quotePrefix="0" xfId="1"/>
    <xf numFmtId="0" fontId="3" fillId="0" borderId="0" applyAlignment="1" pivotButton="0" quotePrefix="0" xfId="0">
      <alignment wrapText="1"/>
    </xf>
    <xf numFmtId="0" fontId="2" fillId="9" borderId="0" pivotButton="0" quotePrefix="0" xfId="0"/>
    <xf numFmtId="0" fontId="4" fillId="9" borderId="0" pivotButton="0" quotePrefix="0" xfId="0"/>
    <xf numFmtId="0" fontId="0" fillId="2" borderId="0" pivotButton="0" quotePrefix="0" xfId="1"/>
    <xf numFmtId="0" fontId="2" fillId="9" borderId="1" pivotButton="0" quotePrefix="0" xfId="0"/>
    <xf numFmtId="0" fontId="0" fillId="0" borderId="1" pivotButton="0" quotePrefix="0" xfId="0"/>
    <xf numFmtId="0" fontId="0" fillId="2" borderId="1" pivotButton="0" quotePrefix="0" xfId="1"/>
    <xf numFmtId="0" fontId="2" fillId="0" borderId="1" pivotButton="0" quotePrefix="0" xfId="0"/>
    <xf numFmtId="0" fontId="0" fillId="3" borderId="1" pivotButton="0" quotePrefix="0" xfId="0"/>
    <xf numFmtId="0" fontId="2" fillId="0" borderId="0" applyAlignment="1" pivotButton="0" quotePrefix="0" xfId="0">
      <alignment horizontal="center"/>
    </xf>
    <xf numFmtId="9" fontId="2" fillId="2" borderId="1" pivotButton="0" quotePrefix="0" xfId="1"/>
    <xf numFmtId="0" fontId="2" fillId="2" borderId="1" pivotButton="0" quotePrefix="0" xfId="0"/>
    <xf numFmtId="9" fontId="0" fillId="0" borderId="0" pivotButton="0" quotePrefix="0" xfId="1"/>
    <xf numFmtId="0" fontId="2" fillId="10" borderId="1" pivotButton="0" quotePrefix="0" xfId="0"/>
    <xf numFmtId="9" fontId="2" fillId="10" borderId="1" pivotButton="0" quotePrefix="0" xfId="1"/>
    <xf numFmtId="9" fontId="2" fillId="0" borderId="3" applyAlignment="1" pivotButton="0" quotePrefix="0" xfId="1">
      <alignment horizontal="center"/>
    </xf>
    <xf numFmtId="9" fontId="2" fillId="0" borderId="0" applyAlignment="1" pivotButton="0" quotePrefix="0" xfId="1">
      <alignment horizontal="center"/>
    </xf>
    <xf numFmtId="9" fontId="2" fillId="0" borderId="0" applyAlignment="1" pivotButton="0" quotePrefix="0" xfId="1">
      <alignment horizontal="center" vertical="center"/>
    </xf>
    <xf numFmtId="2" fontId="0" fillId="0" borderId="1" pivotButton="0" quotePrefix="0" xfId="1"/>
    <xf numFmtId="2" fontId="0" fillId="0" borderId="1" pivotButton="0" quotePrefix="0" xfId="0"/>
    <xf numFmtId="1" fontId="0" fillId="8" borderId="1" pivotButton="0" quotePrefix="0" xfId="1"/>
    <xf numFmtId="1" fontId="0" fillId="0" borderId="1" pivotButton="0" quotePrefix="0" xfId="0"/>
    <xf numFmtId="1" fontId="0" fillId="0" borderId="1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Carr, Dana</author>
  </authors>
  <commentList>
    <comment ref="A20" authorId="0" shapeId="0">
      <text>
        <t xml:space="preserve">Carr, Dana:
Assuming student pop stays stable
</t>
      </text>
    </comment>
    <comment ref="A21" authorId="0" shapeId="0">
      <text>
        <t xml:space="preserve">Carr, Dana:
Assuming student pop stays stable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workbookViewId="0">
      <pane ySplit="1" topLeftCell="A2" activePane="bottomLeft" state="frozen"/>
      <selection pane="bottomLeft" activeCell="D14" sqref="D14"/>
    </sheetView>
  </sheetViews>
  <sheetFormatPr baseColWidth="8" defaultRowHeight="14.45"/>
  <cols>
    <col width="50.7109375" customWidth="1" style="12" min="1" max="1"/>
    <col width="7.7109375" customWidth="1" style="12" min="2" max="2"/>
    <col width="9.28515625" customWidth="1" style="12" min="3" max="3"/>
    <col width="8.28515625" customWidth="1" style="12" min="4" max="4"/>
    <col width="7.5703125" customWidth="1" style="46" min="5" max="5"/>
    <col width="7.7109375" customWidth="1" style="12" min="6" max="6"/>
    <col width="6.42578125" customWidth="1" style="46" min="7" max="7"/>
    <col width="7.7109375" customWidth="1" style="12" min="8" max="8"/>
    <col width="8.7109375" customWidth="1" style="46" min="9" max="9"/>
    <col width="8.7109375" customWidth="1" style="46" min="11" max="11"/>
    <col width="8.7109375" customWidth="1" style="46" min="13" max="13"/>
    <col width="59.7109375" customWidth="1" style="12" min="14" max="14"/>
  </cols>
  <sheetData>
    <row r="1">
      <c r="A1" s="2" t="inlineStr">
        <is>
          <t>Measure</t>
        </is>
      </c>
      <c r="B1" s="25" t="inlineStr">
        <is>
          <t>EXAMPLE</t>
        </is>
      </c>
      <c r="C1" s="25" t="n"/>
      <c r="D1" s="27" t="inlineStr">
        <is>
          <t>Y1</t>
        </is>
      </c>
      <c r="E1" s="49" t="n"/>
      <c r="F1" s="28" t="inlineStr">
        <is>
          <t>Y2</t>
        </is>
      </c>
      <c r="G1" s="49" t="n"/>
      <c r="H1" s="28" t="inlineStr">
        <is>
          <t>Y3</t>
        </is>
      </c>
      <c r="I1" s="49" t="n"/>
      <c r="J1" s="28" t="inlineStr">
        <is>
          <t>Y4</t>
        </is>
      </c>
      <c r="K1" s="49" t="n"/>
      <c r="L1" s="28" t="inlineStr">
        <is>
          <t>Y5</t>
        </is>
      </c>
      <c r="N1" s="28" t="inlineStr">
        <is>
          <t>Notes</t>
        </is>
      </c>
    </row>
    <row r="2">
      <c r="A2" s="2" t="inlineStr">
        <is>
          <t>[Note redacted for anonymization]</t>
        </is>
      </c>
      <c r="B2" s="25" t="n"/>
      <c r="C2" s="25" t="n"/>
      <c r="D2" s="43" t="n"/>
      <c r="E2" s="50" t="n"/>
      <c r="F2" s="43" t="n"/>
      <c r="G2" s="50" t="n"/>
      <c r="H2" s="43" t="n"/>
      <c r="I2" s="50" t="n"/>
      <c r="J2" s="43" t="n"/>
      <c r="K2" s="50" t="n"/>
      <c r="L2" s="43" t="n"/>
      <c r="N2" s="43" t="n"/>
    </row>
    <row r="3">
      <c r="A3" s="3" t="inlineStr">
        <is>
          <t>Financial, LAB &gt;70%</t>
        </is>
      </c>
      <c r="B3" s="30" t="inlineStr">
        <is>
          <t>A</t>
        </is>
      </c>
      <c r="C3" s="26">
        <f>IF(B3="A",1,IF(B3="B",0.75,IF(B3="C",0.5,IF(B3="F",0))))</f>
        <v/>
      </c>
      <c r="D3" s="29" t="inlineStr">
        <is>
          <t>B</t>
        </is>
      </c>
      <c r="E3" s="46">
        <f>IF(D3="A",1,IF(D3="B",0.75,IF(D3="C",0.5,IF(D3="F",0))))</f>
        <v/>
      </c>
      <c r="F3" s="29" t="n"/>
      <c r="G3" s="46">
        <f>IF(F3="A",1,IF(F3="B",0.75,IF(F3="C",0.5,IF(F3="F",0))))</f>
        <v/>
      </c>
      <c r="H3" s="29" t="n"/>
      <c r="I3" s="46">
        <f>IF(H3="A",1,IF(H3="B",0.75,IF(H3="C",0.5,IF(H3="F",0))))</f>
        <v/>
      </c>
      <c r="J3" s="29" t="n"/>
      <c r="K3" s="46">
        <f>IF(J3="A",1,IF(J3="B",0.75,IF(J3="C",0.5,IF(J3="F",0))))</f>
        <v/>
      </c>
      <c r="L3" s="29" t="n"/>
      <c r="M3" s="46">
        <f>IF(L3="A",1,IF(L3="B",0.75,IF(L3="C",0.5,IF(L3="F",0))))</f>
        <v/>
      </c>
      <c r="N3" t="inlineStr">
        <is>
          <t>Has LAB but making progress, no concerns, plans for funds</t>
        </is>
      </c>
    </row>
    <row r="4">
      <c r="B4" s="25" t="n"/>
      <c r="C4" s="26" t="n"/>
    </row>
    <row r="5">
      <c r="A5" s="3" t="inlineStr">
        <is>
          <t>Financial, Excessive Drawdowns</t>
        </is>
      </c>
      <c r="B5" s="30" t="inlineStr">
        <is>
          <t>F</t>
        </is>
      </c>
      <c r="C5" s="26">
        <f>IF(B5="A",1,IF(B5="B",0.75,IF(B5="C",0.5,IF(B5="F",0))))</f>
        <v/>
      </c>
      <c r="D5" s="29" t="inlineStr">
        <is>
          <t>A</t>
        </is>
      </c>
      <c r="E5" s="46">
        <f>IF(D5="A",1,IF(D5="B",0.75,IF(D5="C",0.5,IF(D5="F",0))))</f>
        <v/>
      </c>
      <c r="F5" s="29" t="n"/>
      <c r="G5" s="46">
        <f>IF(F5="A",1,IF(F5="B",0.75,IF(F5="C",0.5,IF(F5="F",0))))</f>
        <v/>
      </c>
      <c r="H5" s="29" t="n"/>
      <c r="I5" s="46">
        <f>IF(H5="A",1,IF(H5="B",0.75,IF(H5="C",0.5,IF(H5="F",0))))</f>
        <v/>
      </c>
      <c r="J5" s="29" t="n"/>
      <c r="K5" s="46">
        <f>IF(J5="A",1,IF(J5="B",0.75,IF(J5="C",0.5,IF(J5="F",0))))</f>
        <v/>
      </c>
      <c r="L5" s="29" t="n"/>
      <c r="M5" s="46">
        <f>IF(L5="A",1,IF(L5="B",0.75,IF(L5="C",0.5,IF(L5="F",0))))</f>
        <v/>
      </c>
    </row>
    <row r="6">
      <c r="B6" s="25" t="n"/>
      <c r="C6" s="26" t="n"/>
    </row>
    <row r="7">
      <c r="A7" s="3" t="inlineStr">
        <is>
          <t>Performance, PD changes or staffing turnover</t>
        </is>
      </c>
      <c r="B7" s="30" t="inlineStr">
        <is>
          <t>A</t>
        </is>
      </c>
      <c r="C7" s="26">
        <f>IF(B7="A",1,IF(B7="B",0.75,IF(B7="C",0.5,IF(B7="F",0))))</f>
        <v/>
      </c>
      <c r="D7" s="29" t="inlineStr">
        <is>
          <t>B</t>
        </is>
      </c>
      <c r="E7" s="46">
        <f>IF(D7="A",1,IF(D7="B",0.75,IF(D7="C",0.5,IF(D7="F",0))))</f>
        <v/>
      </c>
      <c r="F7" s="29" t="n"/>
      <c r="G7" s="46">
        <f>IF(F7="A",1,IF(F7="B",0.75,IF(F7="C",0.5,IF(F7="F",0))))</f>
        <v/>
      </c>
      <c r="H7" s="29" t="n"/>
      <c r="I7" s="46">
        <f>IF(H7="A",1,IF(H7="B",0.75,IF(H7="C",0.5,IF(H7="F",0))))</f>
        <v/>
      </c>
      <c r="J7" s="29" t="n"/>
      <c r="K7" s="46">
        <f>IF(J7="A",1,IF(J7="B",0.75,IF(J7="C",0.5,IF(J7="F",0))))</f>
        <v/>
      </c>
      <c r="L7" s="29" t="n"/>
      <c r="M7" s="46">
        <f>IF(L7="A",1,IF(L7="B",0.75,IF(L7="C",0.5,IF(L7="F",0))))</f>
        <v/>
      </c>
    </row>
    <row r="8">
      <c r="B8" s="25" t="n"/>
      <c r="C8" s="26" t="n"/>
    </row>
    <row r="9">
      <c r="A9" s="3" t="inlineStr">
        <is>
          <t>Performance, other</t>
        </is>
      </c>
      <c r="B9" s="30" t="inlineStr">
        <is>
          <t>B</t>
        </is>
      </c>
      <c r="C9" s="26">
        <f>IF(B9="A",1,IF(B9="B",0.75,IF(B9="C",0.5,IF(B9="F",0))))</f>
        <v/>
      </c>
      <c r="D9" s="29" t="inlineStr">
        <is>
          <t>A</t>
        </is>
      </c>
      <c r="E9" s="46">
        <f>IF(D9="A",1,IF(D9="B",0.75,IF(D9="C",0.5,IF(D9="F",0))))</f>
        <v/>
      </c>
      <c r="F9" s="29" t="n"/>
      <c r="G9" s="46">
        <f>IF(F9="A",1,IF(F9="B",0.75,IF(F9="C",0.5,IF(F9="F",0))))</f>
        <v/>
      </c>
      <c r="H9" s="29" t="n"/>
      <c r="I9" s="46">
        <f>IF(H9="A",1,IF(H9="B",0.75,IF(H9="C",0.5,IF(H9="F",0))))</f>
        <v/>
      </c>
      <c r="J9" s="29" t="n"/>
      <c r="K9" s="46">
        <f>IF(J9="A",1,IF(J9="B",0.75,IF(J9="C",0.5,IF(J9="F",0))))</f>
        <v/>
      </c>
      <c r="L9" s="29" t="n"/>
      <c r="M9" s="46">
        <f>IF(L9="A",1,IF(L9="B",0.75,IF(L9="C",0.5,IF(L9="F",0))))</f>
        <v/>
      </c>
    </row>
    <row r="10">
      <c r="B10" s="25" t="n"/>
      <c r="C10" s="26" t="n"/>
    </row>
    <row r="11" ht="28.9" customHeight="1" s="12">
      <c r="A11" s="34" t="inlineStr">
        <is>
          <t>Internal controls (could include financial adjustments, lack of drawdowns)</t>
        </is>
      </c>
      <c r="B11" s="30" t="inlineStr">
        <is>
          <t>C</t>
        </is>
      </c>
      <c r="C11" s="26">
        <f>IF(B11="A",1,IF(B11="B",0.75,IF(B11="C",0.5,IF(B11="F",0))))</f>
        <v/>
      </c>
      <c r="D11" s="29" t="inlineStr">
        <is>
          <t>B</t>
        </is>
      </c>
      <c r="E11" s="46">
        <f>IF(D11="A",1,IF(D11="B",0.75,IF(D11="C",0.5,IF(D11="F",0))))</f>
        <v/>
      </c>
      <c r="F11" s="29" t="n"/>
      <c r="G11" s="46">
        <f>IF(F11="A",1,IF(F11="B",0.75,IF(F11="C",0.5,IF(F11="F",0))))</f>
        <v/>
      </c>
      <c r="H11" s="29" t="n"/>
      <c r="I11" s="46">
        <f>IF(H11="A",1,IF(H11="B",0.75,IF(H11="C",0.5,IF(H11="F",0))))</f>
        <v/>
      </c>
      <c r="J11" s="29" t="n"/>
      <c r="K11" s="46">
        <f>IF(J11="A",1,IF(J11="B",0.75,IF(J11="C",0.5,IF(J11="F",0))))</f>
        <v/>
      </c>
      <c r="L11" s="29" t="n"/>
      <c r="M11" s="46">
        <f>IF(L11="A",1,IF(L11="B",0.75,IF(L11="C",0.5,IF(L11="F",0))))</f>
        <v/>
      </c>
    </row>
    <row r="12">
      <c r="B12" s="25" t="n"/>
      <c r="C12" s="26" t="n"/>
    </row>
    <row r="13">
      <c r="A13" t="inlineStr">
        <is>
          <t>Conditions</t>
        </is>
      </c>
      <c r="B13" s="30" t="inlineStr">
        <is>
          <t>A</t>
        </is>
      </c>
      <c r="C13" s="26">
        <f>IF(B13="A",1,IF(B13="B",0.75,IF(B13="C",0.5,IF(B13="F",0))))</f>
        <v/>
      </c>
      <c r="D13" s="29" t="inlineStr">
        <is>
          <t>A</t>
        </is>
      </c>
      <c r="E13" s="46">
        <f>IF(D13="A",1,IF(D13="B",0.75,IF(D13="C",0.5,IF(D13="F",0))))</f>
        <v/>
      </c>
      <c r="F13" s="29" t="n"/>
      <c r="G13" s="46">
        <f>IF(F13="A",1,IF(F13="B",0.75,IF(F13="C",0.5,IF(F13="F",0))))</f>
        <v/>
      </c>
      <c r="H13" s="29" t="n"/>
      <c r="I13" s="46">
        <f>IF(H13="A",1,IF(H13="B",0.75,IF(H13="C",0.5,IF(H13="F",0))))</f>
        <v/>
      </c>
      <c r="J13" s="29" t="n"/>
      <c r="K13" s="46">
        <f>IF(J13="A",1,IF(J13="B",0.75,IF(J13="C",0.5,IF(J13="F",0))))</f>
        <v/>
      </c>
      <c r="L13" s="29" t="n"/>
      <c r="M13" s="46">
        <f>IF(L13="A",1,IF(L13="B",0.75,IF(L13="C",0.5,IF(L13="F",0))))</f>
        <v/>
      </c>
    </row>
    <row r="14"/>
    <row r="15">
      <c r="A15" s="45" t="inlineStr">
        <is>
          <t>TOTAL SCORE ADMINISTRATIVE</t>
        </is>
      </c>
      <c r="B15" s="45" t="n"/>
      <c r="C15" s="44">
        <f>SUM(C3*0.1, C5*0.1, C7*0.1, C9*0.5,C11*0.1,C13*0.1)</f>
        <v/>
      </c>
      <c r="D15" s="44" t="n"/>
      <c r="E15" s="44">
        <f>SUM(E3*0.1, E5*0.1, E7*0.1, E9*0.55,E11*0.1,E13*0.05)</f>
        <v/>
      </c>
      <c r="F15" s="44" t="n"/>
      <c r="G15" s="44">
        <f>SUM(G3*0.1, G5*0.1, G7*0.1, G9*0.55,G11*0.1,G13*0.05)</f>
        <v/>
      </c>
      <c r="H15" s="44" t="n"/>
      <c r="I15" s="44">
        <f>SUM(I3*0.1, I5*0.1, I7*0.1, I9*0.55,I11*0.1,I13*0.05)</f>
        <v/>
      </c>
      <c r="J15" s="44" t="n"/>
      <c r="K15" s="44">
        <f>SUM(K3*0.1, K5*0.1, K7*0.1, K9*0.55,K11*0.1,K13*0.05)</f>
        <v/>
      </c>
      <c r="L15" s="44" t="n"/>
      <c r="M15" s="44">
        <f>SUM(M3*0.2, M5*0.1, M7*0.1, M9*0.55,M11*0.05)</f>
        <v/>
      </c>
    </row>
    <row r="16">
      <c r="A16" s="2" t="n"/>
      <c r="B16" s="2" t="n"/>
      <c r="C16" s="2" t="n"/>
      <c r="D16" s="2" t="n"/>
      <c r="E16" s="51" t="n"/>
      <c r="F16" s="2" t="n"/>
      <c r="G16" s="51" t="n"/>
      <c r="H16" s="2" t="n"/>
      <c r="I16" s="51" t="n"/>
      <c r="J16" s="2" t="n"/>
      <c r="K16" s="51" t="n"/>
      <c r="L16" s="2" t="n"/>
      <c r="M16" s="51" t="n"/>
    </row>
    <row r="17">
      <c r="A17" s="2" t="inlineStr">
        <is>
          <t>GPRA MEASURES</t>
        </is>
      </c>
    </row>
    <row r="18">
      <c r="A18" s="38" t="inlineStr">
        <is>
          <t>GPRA 1: Hired</t>
        </is>
      </c>
      <c r="B18" s="25" t="n"/>
      <c r="C18" s="39" t="n"/>
      <c r="D18" s="39" t="n"/>
      <c r="E18" s="52" t="n"/>
      <c r="F18" s="53" t="n"/>
      <c r="G18" s="52" t="n"/>
      <c r="H18" s="53" t="n"/>
      <c r="I18" s="52" t="n"/>
      <c r="J18" s="53" t="n"/>
      <c r="K18" s="52" t="n"/>
      <c r="L18" s="53" t="n"/>
      <c r="M18" s="52" t="n"/>
    </row>
    <row r="19">
      <c r="A19" s="41" t="inlineStr">
        <is>
          <t>GPRA 2: Retained</t>
        </is>
      </c>
      <c r="B19" s="40" t="n"/>
      <c r="C19" s="39" t="n"/>
      <c r="D19" s="39" t="n"/>
      <c r="E19" s="56" t="n"/>
      <c r="F19" s="55" t="n"/>
      <c r="G19" s="56" t="n"/>
      <c r="H19" s="55" t="n"/>
      <c r="I19" s="56" t="n"/>
      <c r="J19" s="55" t="n"/>
      <c r="K19" s="56" t="n"/>
      <c r="L19" s="55" t="n"/>
      <c r="M19" s="56" t="n"/>
    </row>
    <row r="20">
      <c r="A20" t="inlineStr">
        <is>
          <t>GPRA 3: Ratio</t>
        </is>
      </c>
      <c r="B20" s="40" t="n"/>
      <c r="C20" s="39" t="n"/>
      <c r="D20" s="39" t="n"/>
      <c r="E20" s="56" t="n"/>
      <c r="F20" s="55" t="n"/>
      <c r="G20" s="56" t="n"/>
      <c r="H20" s="55" t="n"/>
      <c r="I20" s="56" t="n"/>
      <c r="J20" s="55" t="n"/>
      <c r="K20" s="56" t="n"/>
      <c r="L20" s="55" t="n"/>
      <c r="M20" s="56" t="n"/>
    </row>
    <row r="21">
      <c r="A21" s="39" t="inlineStr">
        <is>
          <t>GPRA 4: Attrition</t>
        </is>
      </c>
      <c r="B21" s="40" t="n"/>
      <c r="C21" s="39" t="n"/>
      <c r="D21" s="39" t="n"/>
      <c r="E21" s="56" t="n"/>
      <c r="F21" s="55" t="n"/>
      <c r="G21" s="56" t="n"/>
      <c r="H21" s="55" t="n"/>
      <c r="I21" s="56" t="n"/>
      <c r="J21" s="55" t="n"/>
      <c r="K21" s="56" t="n"/>
      <c r="L21" s="55" t="n"/>
      <c r="M21" s="56" t="n"/>
    </row>
    <row r="22">
      <c r="A22" s="42" t="inlineStr">
        <is>
          <t>[Note redacted for anonymization]</t>
        </is>
      </c>
      <c r="B22" s="29" t="n"/>
      <c r="C22" s="39" t="n"/>
      <c r="D22" s="39" t="n"/>
      <c r="E22" s="54" t="n"/>
      <c r="F22" s="55" t="n"/>
      <c r="G22" s="54" t="n"/>
      <c r="H22" s="55" t="n"/>
      <c r="I22" s="54" t="n"/>
      <c r="J22" s="55" t="n"/>
      <c r="K22" s="54" t="n"/>
      <c r="L22" s="55" t="n"/>
      <c r="M22" s="54" t="n"/>
    </row>
    <row r="23">
      <c r="A23" s="44" t="inlineStr">
        <is>
          <t>TOTAL SCORE GPRA</t>
        </is>
      </c>
      <c r="B23" s="44">
        <f>SUM(B18*0.4, B19*0.2, B20*0.1, B21*0.2, B22*0.1)</f>
        <v/>
      </c>
      <c r="C23" s="44" t="n"/>
      <c r="D23" s="44" t="n"/>
      <c r="E23" s="44">
        <f>-SUM(E18*0.4, E19*0.2, E20*0.1, E21*0.2, E22*0.1)</f>
        <v/>
      </c>
      <c r="F23" s="44" t="n"/>
      <c r="G23" s="44">
        <f>-SUM(G18*0.4, G19*0.2, G20*0.1, G21*0.2, G22*0.1)</f>
        <v/>
      </c>
      <c r="H23" s="44" t="n"/>
      <c r="I23" s="44">
        <f>-SUM(I18*0.4, I19*0.2, I20*0.1, I21*0.2, I22*0.1)</f>
        <v/>
      </c>
      <c r="J23" s="44" t="n"/>
      <c r="K23" s="44">
        <f>-SUM(K18*0.4, K19*0.2, K20*0.1, K21*0.2, K22*0.1)</f>
        <v/>
      </c>
      <c r="L23" s="44" t="n"/>
      <c r="M23" s="44">
        <f>-SUM(M18*0.4, M19*0.2, M20*0.1, M21*0.2, M22*0.1)</f>
        <v/>
      </c>
    </row>
    <row r="24"/>
    <row r="25"/>
    <row r="26">
      <c r="A26" s="47" t="inlineStr">
        <is>
          <t>TOTAL SCORES</t>
        </is>
      </c>
      <c r="B26" s="47" t="n"/>
      <c r="C26" s="48">
        <f>SUM(C15*0.6, B23*0.4)</f>
        <v/>
      </c>
      <c r="D26" s="47" t="n"/>
      <c r="E26" s="48">
        <f>SUM(E15*0.6, E23*0.4)</f>
        <v/>
      </c>
      <c r="F26" s="48" t="n"/>
      <c r="G26" s="48">
        <f>SUM(G15*0.6, G23*0.4)</f>
        <v/>
      </c>
      <c r="H26" s="48" t="n"/>
      <c r="I26" s="48">
        <f>SUM(I15*0.5, I23*0.5)</f>
        <v/>
      </c>
      <c r="J26" s="48" t="n"/>
      <c r="K26" s="48">
        <f>SUM(K15*0.4, K23*0.6)</f>
        <v/>
      </c>
      <c r="L26" s="48" t="n"/>
      <c r="M26" s="48">
        <f>SUM(M15*0.3, M23*0.7)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D14" sqref="D14"/>
    </sheetView>
  </sheetViews>
  <sheetFormatPr baseColWidth="8" defaultRowHeight="14.45"/>
  <cols>
    <col width="50.7109375" customWidth="1" style="12" min="1" max="1"/>
    <col width="7.7109375" customWidth="1" style="12" min="2" max="2"/>
    <col width="9.28515625" customWidth="1" style="12" min="3" max="3"/>
    <col width="8.28515625" customWidth="1" style="12" min="4" max="4"/>
    <col width="7.5703125" customWidth="1" style="46" min="5" max="5"/>
    <col width="7.7109375" customWidth="1" style="12" min="6" max="6"/>
    <col width="6.42578125" customWidth="1" style="46" min="7" max="7"/>
    <col width="7.7109375" customWidth="1" style="12" min="8" max="8"/>
    <col width="8.7109375" customWidth="1" style="46" min="9" max="9"/>
    <col width="8.7109375" customWidth="1" style="46" min="11" max="11"/>
    <col width="8.7109375" customWidth="1" style="46" min="13" max="13"/>
    <col width="59.7109375" customWidth="1" style="12" min="14" max="14"/>
  </cols>
  <sheetData>
    <row r="1">
      <c r="A1" s="2" t="inlineStr">
        <is>
          <t>Measure</t>
        </is>
      </c>
      <c r="B1" s="25" t="inlineStr">
        <is>
          <t>EXAMPLE</t>
        </is>
      </c>
      <c r="C1" s="25" t="n"/>
      <c r="D1" s="27" t="inlineStr">
        <is>
          <t>Y1</t>
        </is>
      </c>
      <c r="E1" s="49" t="n"/>
      <c r="F1" s="28" t="inlineStr">
        <is>
          <t>Y2</t>
        </is>
      </c>
      <c r="G1" s="49" t="n"/>
      <c r="H1" s="28" t="inlineStr">
        <is>
          <t>Y3</t>
        </is>
      </c>
      <c r="I1" s="49" t="n"/>
      <c r="J1" s="28" t="inlineStr">
        <is>
          <t>Y4</t>
        </is>
      </c>
      <c r="K1" s="49" t="n"/>
      <c r="L1" s="28" t="inlineStr">
        <is>
          <t>Y5</t>
        </is>
      </c>
      <c r="N1" s="28" t="inlineStr">
        <is>
          <t>Notes</t>
        </is>
      </c>
    </row>
    <row r="2">
      <c r="A2" s="2" t="inlineStr">
        <is>
          <t>[Note redacted for anonymization]</t>
        </is>
      </c>
      <c r="B2" s="25" t="n"/>
      <c r="C2" s="25" t="n"/>
      <c r="D2" s="43" t="n"/>
      <c r="E2" s="50" t="n"/>
      <c r="F2" s="43" t="n"/>
      <c r="G2" s="50" t="n"/>
      <c r="H2" s="43" t="n"/>
      <c r="I2" s="50" t="n"/>
      <c r="J2" s="43" t="n"/>
      <c r="K2" s="50" t="n"/>
      <c r="L2" s="43" t="n"/>
      <c r="N2" s="43" t="n"/>
    </row>
    <row r="3">
      <c r="A3" s="3" t="inlineStr">
        <is>
          <t>Financial, LAB &gt;70%</t>
        </is>
      </c>
      <c r="B3" s="30" t="inlineStr">
        <is>
          <t>A</t>
        </is>
      </c>
      <c r="C3" s="26">
        <f>IF(B3="A",1,IF(B3="B",0.75,IF(B3="C",0.5,IF(B3="F",0))))</f>
        <v/>
      </c>
      <c r="D3" s="29" t="inlineStr">
        <is>
          <t>B</t>
        </is>
      </c>
      <c r="E3" s="46">
        <f>IF(D3="A",1,IF(D3="B",0.75,IF(D3="C",0.5,IF(D3="F",0))))</f>
        <v/>
      </c>
      <c r="F3" s="29" t="n"/>
      <c r="G3" s="46">
        <f>IF(F3="A",1,IF(F3="B",0.75,IF(F3="C",0.5,IF(F3="F",0))))</f>
        <v/>
      </c>
      <c r="H3" s="29" t="n"/>
      <c r="I3" s="46">
        <f>IF(H3="A",1,IF(H3="B",0.75,IF(H3="C",0.5,IF(H3="F",0))))</f>
        <v/>
      </c>
      <c r="J3" s="29" t="n"/>
      <c r="K3" s="46">
        <f>IF(J3="A",1,IF(J3="B",0.75,IF(J3="C",0.5,IF(J3="F",0))))</f>
        <v/>
      </c>
      <c r="L3" s="29" t="n"/>
      <c r="M3" s="46">
        <f>IF(L3="A",1,IF(L3="B",0.75,IF(L3="C",0.5,IF(L3="F",0))))</f>
        <v/>
      </c>
      <c r="N3" t="inlineStr">
        <is>
          <t>Has LAB but making progress, no concerns, plans for funds</t>
        </is>
      </c>
    </row>
    <row r="4">
      <c r="B4" s="25" t="n"/>
      <c r="C4" s="26" t="n"/>
    </row>
    <row r="5">
      <c r="A5" s="3" t="inlineStr">
        <is>
          <t>Financial, Excessive Drawdowns</t>
        </is>
      </c>
      <c r="B5" s="30" t="inlineStr">
        <is>
          <t>F</t>
        </is>
      </c>
      <c r="C5" s="26">
        <f>IF(B5="A",1,IF(B5="B",0.75,IF(B5="C",0.5,IF(B5="F",0))))</f>
        <v/>
      </c>
      <c r="D5" s="29" t="inlineStr">
        <is>
          <t>A</t>
        </is>
      </c>
      <c r="E5" s="46">
        <f>IF(D5="A",1,IF(D5="B",0.75,IF(D5="C",0.5,IF(D5="F",0))))</f>
        <v/>
      </c>
      <c r="F5" s="29" t="n"/>
      <c r="G5" s="46">
        <f>IF(F5="A",1,IF(F5="B",0.75,IF(F5="C",0.5,IF(F5="F",0))))</f>
        <v/>
      </c>
      <c r="H5" s="29" t="n"/>
      <c r="I5" s="46">
        <f>IF(H5="A",1,IF(H5="B",0.75,IF(H5="C",0.5,IF(H5="F",0))))</f>
        <v/>
      </c>
      <c r="J5" s="29" t="n"/>
      <c r="K5" s="46">
        <f>IF(J5="A",1,IF(J5="B",0.75,IF(J5="C",0.5,IF(J5="F",0))))</f>
        <v/>
      </c>
      <c r="L5" s="29" t="n"/>
      <c r="M5" s="46">
        <f>IF(L5="A",1,IF(L5="B",0.75,IF(L5="C",0.5,IF(L5="F",0))))</f>
        <v/>
      </c>
    </row>
    <row r="6">
      <c r="B6" s="25" t="n"/>
      <c r="C6" s="26" t="n"/>
    </row>
    <row r="7">
      <c r="A7" s="3" t="inlineStr">
        <is>
          <t>Performance, PD changes or staffing turnover</t>
        </is>
      </c>
      <c r="B7" s="30" t="inlineStr">
        <is>
          <t>A</t>
        </is>
      </c>
      <c r="C7" s="26">
        <f>IF(B7="A",1,IF(B7="B",0.75,IF(B7="C",0.5,IF(B7="F",0))))</f>
        <v/>
      </c>
      <c r="D7" s="29" t="inlineStr">
        <is>
          <t>A</t>
        </is>
      </c>
      <c r="E7" s="46">
        <f>IF(D7="A",1,IF(D7="B",0.75,IF(D7="C",0.5,IF(D7="F",0))))</f>
        <v/>
      </c>
      <c r="F7" s="29" t="n"/>
      <c r="G7" s="46">
        <f>IF(F7="A",1,IF(F7="B",0.75,IF(F7="C",0.5,IF(F7="F",0))))</f>
        <v/>
      </c>
      <c r="H7" s="29" t="n"/>
      <c r="I7" s="46">
        <f>IF(H7="A",1,IF(H7="B",0.75,IF(H7="C",0.5,IF(H7="F",0))))</f>
        <v/>
      </c>
      <c r="J7" s="29" t="n"/>
      <c r="K7" s="46">
        <f>IF(J7="A",1,IF(J7="B",0.75,IF(J7="C",0.5,IF(J7="F",0))))</f>
        <v/>
      </c>
      <c r="L7" s="29" t="n"/>
      <c r="M7" s="46">
        <f>IF(L7="A",1,IF(L7="B",0.75,IF(L7="C",0.5,IF(L7="F",0))))</f>
        <v/>
      </c>
    </row>
    <row r="8">
      <c r="B8" s="25" t="n"/>
      <c r="C8" s="26" t="n"/>
    </row>
    <row r="9">
      <c r="A9" s="3" t="inlineStr">
        <is>
          <t>Performance, other</t>
        </is>
      </c>
      <c r="B9" s="30" t="inlineStr">
        <is>
          <t>B</t>
        </is>
      </c>
      <c r="C9" s="26">
        <f>IF(B9="A",1,IF(B9="B",0.75,IF(B9="C",0.5,IF(B9="F",0))))</f>
        <v/>
      </c>
      <c r="D9" s="29" t="inlineStr">
        <is>
          <t>B</t>
        </is>
      </c>
      <c r="E9" s="46">
        <f>IF(D9="A",1,IF(D9="B",0.75,IF(D9="C",0.5,IF(D9="F",0))))</f>
        <v/>
      </c>
      <c r="F9" s="29" t="n"/>
      <c r="G9" s="46">
        <f>IF(F9="A",1,IF(F9="B",0.75,IF(F9="C",0.5,IF(F9="F",0))))</f>
        <v/>
      </c>
      <c r="H9" s="29" t="n"/>
      <c r="I9" s="46">
        <f>IF(H9="A",1,IF(H9="B",0.75,IF(H9="C",0.5,IF(H9="F",0))))</f>
        <v/>
      </c>
      <c r="J9" s="29" t="n"/>
      <c r="K9" s="46">
        <f>IF(J9="A",1,IF(J9="B",0.75,IF(J9="C",0.5,IF(J9="F",0))))</f>
        <v/>
      </c>
      <c r="L9" s="29" t="n"/>
      <c r="M9" s="46">
        <f>IF(L9="A",1,IF(L9="B",0.75,IF(L9="C",0.5,IF(L9="F",0))))</f>
        <v/>
      </c>
    </row>
    <row r="10">
      <c r="B10" s="25" t="n"/>
      <c r="C10" s="26" t="n"/>
    </row>
    <row r="11" ht="28.9" customHeight="1" s="12">
      <c r="A11" s="34" t="inlineStr">
        <is>
          <t>Internal controls (could include financial adjustments, lack of drawdowns)</t>
        </is>
      </c>
      <c r="B11" s="30" t="inlineStr">
        <is>
          <t>C</t>
        </is>
      </c>
      <c r="C11" s="26">
        <f>IF(B11="A",1,IF(B11="B",0.75,IF(B11="C",0.5,IF(B11="F",0))))</f>
        <v/>
      </c>
      <c r="D11" s="29" t="inlineStr">
        <is>
          <t>B</t>
        </is>
      </c>
      <c r="E11" s="46">
        <f>IF(D11="A",1,IF(D11="B",0.75,IF(D11="C",0.5,IF(D11="F",0))))</f>
        <v/>
      </c>
      <c r="F11" s="29" t="n"/>
      <c r="G11" s="46">
        <f>IF(F11="A",1,IF(F11="B",0.75,IF(F11="C",0.5,IF(F11="F",0))))</f>
        <v/>
      </c>
      <c r="H11" s="29" t="n"/>
      <c r="I11" s="46">
        <f>IF(H11="A",1,IF(H11="B",0.75,IF(H11="C",0.5,IF(H11="F",0))))</f>
        <v/>
      </c>
      <c r="J11" s="29" t="n"/>
      <c r="K11" s="46">
        <f>IF(J11="A",1,IF(J11="B",0.75,IF(J11="C",0.5,IF(J11="F",0))))</f>
        <v/>
      </c>
      <c r="L11" s="29" t="n"/>
      <c r="M11" s="46">
        <f>IF(L11="A",1,IF(L11="B",0.75,IF(L11="C",0.5,IF(L11="F",0))))</f>
        <v/>
      </c>
    </row>
    <row r="12">
      <c r="B12" s="25" t="n"/>
      <c r="C12" s="26" t="n"/>
    </row>
    <row r="13">
      <c r="A13" t="inlineStr">
        <is>
          <t>Conditions</t>
        </is>
      </c>
      <c r="B13" s="30" t="inlineStr">
        <is>
          <t>A</t>
        </is>
      </c>
      <c r="C13" s="26">
        <f>IF(B13="A",1,IF(B13="B",0.75,IF(B13="C",0.5,IF(B13="F",0))))</f>
        <v/>
      </c>
      <c r="D13" s="29" t="inlineStr">
        <is>
          <t>A</t>
        </is>
      </c>
      <c r="E13" s="46">
        <f>IF(D13="A",1,IF(D13="B",0.75,IF(D13="C",0.5,IF(D13="F",0))))</f>
        <v/>
      </c>
      <c r="F13" s="29" t="n"/>
      <c r="G13" s="46">
        <f>IF(F13="A",1,IF(F13="B",0.75,IF(F13="C",0.5,IF(F13="F",0))))</f>
        <v/>
      </c>
      <c r="H13" s="29" t="n"/>
      <c r="I13" s="46">
        <f>IF(H13="A",1,IF(H13="B",0.75,IF(H13="C",0.5,IF(H13="F",0))))</f>
        <v/>
      </c>
      <c r="J13" s="29" t="n"/>
      <c r="K13" s="46">
        <f>IF(J13="A",1,IF(J13="B",0.75,IF(J13="C",0.5,IF(J13="F",0))))</f>
        <v/>
      </c>
      <c r="L13" s="29" t="n"/>
      <c r="M13" s="46">
        <f>IF(L13="A",1,IF(L13="B",0.75,IF(L13="C",0.5,IF(L13="F",0))))</f>
        <v/>
      </c>
    </row>
    <row r="14"/>
    <row r="15">
      <c r="A15" s="45" t="inlineStr">
        <is>
          <t>TOTAL SCORE ADMINISTRATIVE</t>
        </is>
      </c>
      <c r="B15" s="45" t="n"/>
      <c r="C15" s="44">
        <f>SUM(C3*0.1, C5*0.1, C7*0.1, C9*0.5,C11*0.1,C13*0.1)</f>
        <v/>
      </c>
      <c r="D15" s="44" t="n"/>
      <c r="E15" s="44">
        <f>SUM(E3*0.1, E5*0.1, E7*0.1, E9*0.55,E11*0.1,E13*0.05)</f>
        <v/>
      </c>
      <c r="F15" s="44" t="n"/>
      <c r="G15" s="44">
        <f>SUM(G3*0.1, G5*0.1, G7*0.1, G9*0.55,G11*0.1,G13*0.05)</f>
        <v/>
      </c>
      <c r="H15" s="44" t="n"/>
      <c r="I15" s="44">
        <f>SUM(I3*0.1, I5*0.1, I7*0.1, I9*0.55,I11*0.1,I13*0.05)</f>
        <v/>
      </c>
      <c r="J15" s="44" t="n"/>
      <c r="K15" s="44">
        <f>SUM(K3*0.1, K5*0.1, K7*0.1, K9*0.55,K11*0.1,K13*0.05)</f>
        <v/>
      </c>
      <c r="L15" s="44" t="n"/>
      <c r="M15" s="44">
        <f>SUM(M3*0.2, M5*0.1, M7*0.1, M9*0.55,M11*0.05)</f>
        <v/>
      </c>
    </row>
    <row r="16">
      <c r="A16" s="2" t="n"/>
      <c r="B16" s="2" t="n"/>
      <c r="C16" s="2" t="n"/>
      <c r="D16" s="2" t="n"/>
      <c r="E16" s="51" t="n"/>
      <c r="F16" s="2" t="n"/>
      <c r="G16" s="51" t="n"/>
      <c r="H16" s="2" t="n"/>
      <c r="I16" s="51" t="n"/>
      <c r="J16" s="2" t="n"/>
      <c r="K16" s="51" t="n"/>
      <c r="L16" s="2" t="n"/>
      <c r="M16" s="51" t="n"/>
    </row>
    <row r="17">
      <c r="A17" s="2" t="inlineStr">
        <is>
          <t>GPRA MEASURES</t>
        </is>
      </c>
    </row>
    <row r="18">
      <c r="A18" s="38" t="inlineStr">
        <is>
          <t>GPRA 1: Hired</t>
        </is>
      </c>
      <c r="B18" s="25" t="n"/>
      <c r="C18" s="39" t="n"/>
      <c r="D18" s="39" t="n"/>
      <c r="E18" s="52" t="n"/>
      <c r="F18" s="53" t="n"/>
      <c r="G18" s="52" t="n"/>
      <c r="H18" s="53" t="n"/>
      <c r="I18" s="52" t="n"/>
      <c r="J18" s="53" t="n"/>
      <c r="K18" s="52" t="n"/>
      <c r="L18" s="53" t="n"/>
      <c r="M18" s="52" t="n"/>
    </row>
    <row r="19">
      <c r="A19" s="41" t="inlineStr">
        <is>
          <t>GPRA 2: Retained</t>
        </is>
      </c>
      <c r="B19" s="40" t="n"/>
      <c r="C19" s="39" t="n"/>
      <c r="D19" s="39" t="n"/>
      <c r="E19" s="56" t="n"/>
      <c r="F19" s="55" t="n"/>
      <c r="G19" s="56" t="n"/>
      <c r="H19" s="55" t="n"/>
      <c r="I19" s="56" t="n"/>
      <c r="J19" s="55" t="n"/>
      <c r="K19" s="56" t="n"/>
      <c r="L19" s="55" t="n"/>
      <c r="M19" s="56" t="n"/>
    </row>
    <row r="20">
      <c r="A20" t="inlineStr">
        <is>
          <t>GPRA 3: Ratio</t>
        </is>
      </c>
      <c r="B20" s="40" t="n"/>
      <c r="C20" s="39" t="n"/>
      <c r="D20" s="39" t="n"/>
      <c r="E20" s="56" t="n"/>
      <c r="F20" s="55" t="n"/>
      <c r="G20" s="56" t="n"/>
      <c r="H20" s="55" t="n"/>
      <c r="I20" s="56" t="n"/>
      <c r="J20" s="55" t="n"/>
      <c r="K20" s="56" t="n"/>
      <c r="L20" s="55" t="n"/>
      <c r="M20" s="56" t="n"/>
    </row>
    <row r="21">
      <c r="A21" s="39" t="inlineStr">
        <is>
          <t>GPRA 4: Attrition</t>
        </is>
      </c>
      <c r="B21" s="40" t="n"/>
      <c r="C21" s="39" t="n"/>
      <c r="D21" s="39" t="n"/>
      <c r="E21" s="56" t="n"/>
      <c r="F21" s="55" t="n"/>
      <c r="G21" s="56" t="n"/>
      <c r="H21" s="55" t="n"/>
      <c r="I21" s="56" t="n"/>
      <c r="J21" s="55" t="n"/>
      <c r="K21" s="56" t="n"/>
      <c r="L21" s="55" t="n"/>
      <c r="M21" s="56" t="n"/>
    </row>
    <row r="22">
      <c r="A22" s="42" t="inlineStr">
        <is>
          <t>[Note redacted for anonymization]</t>
        </is>
      </c>
      <c r="B22" s="29" t="n"/>
      <c r="C22" s="39" t="n"/>
      <c r="D22" s="39" t="n"/>
      <c r="E22" s="54" t="n"/>
      <c r="F22" s="55" t="n"/>
      <c r="G22" s="54" t="n"/>
      <c r="H22" s="55" t="n"/>
      <c r="I22" s="54" t="n"/>
      <c r="J22" s="55" t="n"/>
      <c r="K22" s="54" t="n"/>
      <c r="L22" s="55" t="n"/>
      <c r="M22" s="54" t="n"/>
    </row>
    <row r="23">
      <c r="A23" s="44" t="inlineStr">
        <is>
          <t>TOTAL SCORE GPRA</t>
        </is>
      </c>
      <c r="B23" s="44">
        <f>SUM(B18*0.4, B19*0.2, B20*0.1, B21*0.2, B22*0.1)</f>
        <v/>
      </c>
      <c r="C23" s="44" t="n"/>
      <c r="D23" s="44" t="n"/>
      <c r="E23" s="44">
        <f>-SUM(E18*0.4, E19*0.2, E20*0.1, E21*0.2, E22*0.1)</f>
        <v/>
      </c>
      <c r="F23" s="44" t="n"/>
      <c r="G23" s="44">
        <f>-SUM(G18*0.4, G19*0.2, G20*0.1, G21*0.2, G22*0.1)</f>
        <v/>
      </c>
      <c r="H23" s="44" t="n"/>
      <c r="I23" s="44">
        <f>-SUM(I18*0.4, I19*0.2, I20*0.1, I21*0.2, I22*0.1)</f>
        <v/>
      </c>
      <c r="J23" s="44" t="n"/>
      <c r="K23" s="44">
        <f>-SUM(K18*0.4, K19*0.2, K20*0.1, K21*0.2, K22*0.1)</f>
        <v/>
      </c>
      <c r="L23" s="44" t="n"/>
      <c r="M23" s="44">
        <f>-SUM(M18*0.4, M19*0.2, M20*0.1, M21*0.2, M22*0.1)</f>
        <v/>
      </c>
    </row>
    <row r="24"/>
    <row r="25"/>
    <row r="26">
      <c r="A26" s="47" t="inlineStr">
        <is>
          <t>TOTAL SCORES</t>
        </is>
      </c>
      <c r="B26" s="47" t="n"/>
      <c r="C26" s="48">
        <f>SUM(C15*0.6, B23*0.4)</f>
        <v/>
      </c>
      <c r="D26" s="47" t="n"/>
      <c r="E26" s="48">
        <f>SUM(E15*0.6, E23*0.4)</f>
        <v/>
      </c>
      <c r="F26" s="48" t="n"/>
      <c r="G26" s="48">
        <f>SUM(G15*0.6, G23*0.4)</f>
        <v/>
      </c>
      <c r="H26" s="48" t="n"/>
      <c r="I26" s="48">
        <f>SUM(I15*0.5, I23*0.5)</f>
        <v/>
      </c>
      <c r="J26" s="48" t="n"/>
      <c r="K26" s="48">
        <f>SUM(K15*0.4, K23*0.6)</f>
        <v/>
      </c>
      <c r="L26" s="48" t="n"/>
      <c r="M26" s="48">
        <f>SUM(M15*0.3, M23*0.7)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D12" sqref="D12"/>
    </sheetView>
  </sheetViews>
  <sheetFormatPr baseColWidth="8" defaultRowHeight="14.45"/>
  <cols>
    <col width="50.7109375" customWidth="1" style="12" min="1" max="1"/>
    <col width="7.7109375" customWidth="1" style="12" min="2" max="2"/>
    <col width="9.28515625" customWidth="1" style="12" min="3" max="3"/>
    <col width="8.28515625" customWidth="1" style="12" min="4" max="4"/>
    <col width="7.5703125" customWidth="1" style="46" min="5" max="5"/>
    <col width="7.7109375" customWidth="1" style="12" min="6" max="6"/>
    <col width="6.42578125" customWidth="1" style="46" min="7" max="7"/>
    <col width="7.7109375" customWidth="1" style="12" min="8" max="8"/>
    <col width="8.7109375" customWidth="1" style="46" min="9" max="9"/>
    <col width="8.7109375" customWidth="1" style="46" min="11" max="11"/>
    <col width="8.7109375" customWidth="1" style="46" min="13" max="13"/>
    <col width="59.7109375" customWidth="1" style="12" min="14" max="14"/>
  </cols>
  <sheetData>
    <row r="1">
      <c r="A1" s="2" t="inlineStr">
        <is>
          <t>Measure</t>
        </is>
      </c>
      <c r="B1" s="25" t="inlineStr">
        <is>
          <t>EXAMPLE</t>
        </is>
      </c>
      <c r="C1" s="25" t="n"/>
      <c r="D1" s="27" t="inlineStr">
        <is>
          <t>Y1</t>
        </is>
      </c>
      <c r="E1" s="49" t="n"/>
      <c r="F1" s="28" t="inlineStr">
        <is>
          <t>Y2</t>
        </is>
      </c>
      <c r="G1" s="49" t="n"/>
      <c r="H1" s="28" t="inlineStr">
        <is>
          <t>Y3</t>
        </is>
      </c>
      <c r="I1" s="49" t="n"/>
      <c r="J1" s="28" t="inlineStr">
        <is>
          <t>Y4</t>
        </is>
      </c>
      <c r="K1" s="49" t="n"/>
      <c r="L1" s="28" t="inlineStr">
        <is>
          <t>Y5</t>
        </is>
      </c>
      <c r="N1" s="28" t="inlineStr">
        <is>
          <t>Notes</t>
        </is>
      </c>
    </row>
    <row r="2">
      <c r="A2" s="2" t="inlineStr">
        <is>
          <t>[Note redacted for anonymization]</t>
        </is>
      </c>
      <c r="B2" s="25" t="n"/>
      <c r="C2" s="25" t="n"/>
      <c r="D2" s="43" t="n"/>
      <c r="E2" s="50" t="n"/>
      <c r="F2" s="43" t="n"/>
      <c r="G2" s="50" t="n"/>
      <c r="H2" s="43" t="n"/>
      <c r="I2" s="50" t="n"/>
      <c r="J2" s="43" t="n"/>
      <c r="K2" s="50" t="n"/>
      <c r="L2" s="43" t="n"/>
      <c r="N2" s="43" t="n"/>
    </row>
    <row r="3">
      <c r="A3" s="3" t="inlineStr">
        <is>
          <t>Financial, LAB &gt;70%</t>
        </is>
      </c>
      <c r="B3" s="30" t="inlineStr">
        <is>
          <t>A</t>
        </is>
      </c>
      <c r="C3" s="26">
        <f>IF(B3="A",1,IF(B3="B",0.75,IF(B3="C",0.5,IF(B3="F",0))))</f>
        <v/>
      </c>
      <c r="D3" s="29" t="inlineStr">
        <is>
          <t>B</t>
        </is>
      </c>
      <c r="E3" s="46">
        <f>IF(D3="A",1,IF(D3="B",0.75,IF(D3="C",0.5,IF(D3="F",0))))</f>
        <v/>
      </c>
      <c r="F3" s="29" t="n"/>
      <c r="G3" s="46">
        <f>IF(F3="A",1,IF(F3="B",0.75,IF(F3="C",0.5,IF(F3="F",0))))</f>
        <v/>
      </c>
      <c r="H3" s="29" t="n"/>
      <c r="I3" s="46">
        <f>IF(H3="A",1,IF(H3="B",0.75,IF(H3="C",0.5,IF(H3="F",0))))</f>
        <v/>
      </c>
      <c r="J3" s="29" t="n"/>
      <c r="K3" s="46">
        <f>IF(J3="A",1,IF(J3="B",0.75,IF(J3="C",0.5,IF(J3="F",0))))</f>
        <v/>
      </c>
      <c r="L3" s="29" t="n"/>
      <c r="M3" s="46">
        <f>IF(L3="A",1,IF(L3="B",0.75,IF(L3="C",0.5,IF(L3="F",0))))</f>
        <v/>
      </c>
      <c r="N3" t="inlineStr">
        <is>
          <t>Has LAB but making progress, no concerns, plans for funds</t>
        </is>
      </c>
    </row>
    <row r="4">
      <c r="B4" s="25" t="n"/>
      <c r="C4" s="26" t="n"/>
    </row>
    <row r="5">
      <c r="A5" s="3" t="inlineStr">
        <is>
          <t>Financial, Excessive Drawdowns</t>
        </is>
      </c>
      <c r="B5" s="30" t="inlineStr">
        <is>
          <t>F</t>
        </is>
      </c>
      <c r="C5" s="26">
        <f>IF(B5="A",1,IF(B5="B",0.75,IF(B5="C",0.5,IF(B5="F",0))))</f>
        <v/>
      </c>
      <c r="D5" s="29" t="inlineStr">
        <is>
          <t>A</t>
        </is>
      </c>
      <c r="E5" s="46">
        <f>IF(D5="A",1,IF(D5="B",0.75,IF(D5="C",0.5,IF(D5="F",0))))</f>
        <v/>
      </c>
      <c r="F5" s="29" t="n"/>
      <c r="G5" s="46">
        <f>IF(F5="A",1,IF(F5="B",0.75,IF(F5="C",0.5,IF(F5="F",0))))</f>
        <v/>
      </c>
      <c r="H5" s="29" t="n"/>
      <c r="I5" s="46">
        <f>IF(H5="A",1,IF(H5="B",0.75,IF(H5="C",0.5,IF(H5="F",0))))</f>
        <v/>
      </c>
      <c r="J5" s="29" t="n"/>
      <c r="K5" s="46">
        <f>IF(J5="A",1,IF(J5="B",0.75,IF(J5="C",0.5,IF(J5="F",0))))</f>
        <v/>
      </c>
      <c r="L5" s="29" t="n"/>
      <c r="M5" s="46">
        <f>IF(L5="A",1,IF(L5="B",0.75,IF(L5="C",0.5,IF(L5="F",0))))</f>
        <v/>
      </c>
    </row>
    <row r="6">
      <c r="B6" s="25" t="n"/>
      <c r="C6" s="26" t="n"/>
    </row>
    <row r="7">
      <c r="A7" s="3" t="inlineStr">
        <is>
          <t>Performance, PD changes or staffing turnover</t>
        </is>
      </c>
      <c r="B7" s="30" t="inlineStr">
        <is>
          <t>A</t>
        </is>
      </c>
      <c r="C7" s="26">
        <f>IF(B7="A",1,IF(B7="B",0.75,IF(B7="C",0.5,IF(B7="F",0))))</f>
        <v/>
      </c>
      <c r="D7" s="29" t="inlineStr">
        <is>
          <t>A</t>
        </is>
      </c>
      <c r="E7" s="46">
        <f>IF(D7="A",1,IF(D7="B",0.75,IF(D7="C",0.5,IF(D7="F",0))))</f>
        <v/>
      </c>
      <c r="F7" s="29" t="n"/>
      <c r="G7" s="46">
        <f>IF(F7="A",1,IF(F7="B",0.75,IF(F7="C",0.5,IF(F7="F",0))))</f>
        <v/>
      </c>
      <c r="H7" s="29" t="n"/>
      <c r="I7" s="46">
        <f>IF(H7="A",1,IF(H7="B",0.75,IF(H7="C",0.5,IF(H7="F",0))))</f>
        <v/>
      </c>
      <c r="J7" s="29" t="n"/>
      <c r="K7" s="46">
        <f>IF(J7="A",1,IF(J7="B",0.75,IF(J7="C",0.5,IF(J7="F",0))))</f>
        <v/>
      </c>
      <c r="L7" s="29" t="n"/>
      <c r="M7" s="46">
        <f>IF(L7="A",1,IF(L7="B",0.75,IF(L7="C",0.5,IF(L7="F",0))))</f>
        <v/>
      </c>
    </row>
    <row r="8">
      <c r="B8" s="25" t="n"/>
      <c r="C8" s="26" t="n"/>
    </row>
    <row r="9">
      <c r="A9" s="3" t="inlineStr">
        <is>
          <t>Performance, other</t>
        </is>
      </c>
      <c r="B9" s="30" t="inlineStr">
        <is>
          <t>B</t>
        </is>
      </c>
      <c r="C9" s="26">
        <f>IF(B9="A",1,IF(B9="B",0.75,IF(B9="C",0.5,IF(B9="F",0))))</f>
        <v/>
      </c>
      <c r="D9" s="29" t="inlineStr">
        <is>
          <t>A</t>
        </is>
      </c>
      <c r="E9" s="46">
        <f>IF(D9="A",1,IF(D9="B",0.75,IF(D9="C",0.5,IF(D9="F",0))))</f>
        <v/>
      </c>
      <c r="F9" s="29" t="n"/>
      <c r="G9" s="46">
        <f>IF(F9="A",1,IF(F9="B",0.75,IF(F9="C",0.5,IF(F9="F",0))))</f>
        <v/>
      </c>
      <c r="H9" s="29" t="n"/>
      <c r="I9" s="46">
        <f>IF(H9="A",1,IF(H9="B",0.75,IF(H9="C",0.5,IF(H9="F",0))))</f>
        <v/>
      </c>
      <c r="J9" s="29" t="n"/>
      <c r="K9" s="46">
        <f>IF(J9="A",1,IF(J9="B",0.75,IF(J9="C",0.5,IF(J9="F",0))))</f>
        <v/>
      </c>
      <c r="L9" s="29" t="n"/>
      <c r="M9" s="46">
        <f>IF(L9="A",1,IF(L9="B",0.75,IF(L9="C",0.5,IF(L9="F",0))))</f>
        <v/>
      </c>
    </row>
    <row r="10">
      <c r="B10" s="25" t="n"/>
      <c r="C10" s="26" t="n"/>
    </row>
    <row r="11" ht="28.9" customHeight="1" s="12">
      <c r="A11" s="34" t="inlineStr">
        <is>
          <t>Internal controls (could include financial adjustments, lack of drawdowns)</t>
        </is>
      </c>
      <c r="B11" s="30" t="inlineStr">
        <is>
          <t>C</t>
        </is>
      </c>
      <c r="C11" s="26">
        <f>IF(B11="A",1,IF(B11="B",0.75,IF(B11="C",0.5,IF(B11="F",0))))</f>
        <v/>
      </c>
      <c r="D11" s="29" t="inlineStr">
        <is>
          <t>A</t>
        </is>
      </c>
      <c r="E11" s="46">
        <f>IF(D11="A",1,IF(D11="B",0.75,IF(D11="C",0.5,IF(D11="F",0))))</f>
        <v/>
      </c>
      <c r="F11" s="29" t="n"/>
      <c r="G11" s="46">
        <f>IF(F11="A",1,IF(F11="B",0.75,IF(F11="C",0.5,IF(F11="F",0))))</f>
        <v/>
      </c>
      <c r="H11" s="29" t="n"/>
      <c r="I11" s="46">
        <f>IF(H11="A",1,IF(H11="B",0.75,IF(H11="C",0.5,IF(H11="F",0))))</f>
        <v/>
      </c>
      <c r="J11" s="29" t="n"/>
      <c r="K11" s="46">
        <f>IF(J11="A",1,IF(J11="B",0.75,IF(J11="C",0.5,IF(J11="F",0))))</f>
        <v/>
      </c>
      <c r="L11" s="29" t="n"/>
      <c r="M11" s="46">
        <f>IF(L11="A",1,IF(L11="B",0.75,IF(L11="C",0.5,IF(L11="F",0))))</f>
        <v/>
      </c>
    </row>
    <row r="12">
      <c r="B12" s="25" t="n"/>
      <c r="C12" s="26" t="n"/>
    </row>
    <row r="13">
      <c r="A13" t="inlineStr">
        <is>
          <t>Conditions</t>
        </is>
      </c>
      <c r="B13" s="30" t="inlineStr">
        <is>
          <t>A</t>
        </is>
      </c>
      <c r="C13" s="26">
        <f>IF(B13="A",1,IF(B13="B",0.75,IF(B13="C",0.5,IF(B13="F",0))))</f>
        <v/>
      </c>
      <c r="D13" s="29" t="inlineStr">
        <is>
          <t>A</t>
        </is>
      </c>
      <c r="E13" s="46">
        <f>IF(D13="A",1,IF(D13="B",0.75,IF(D13="C",0.5,IF(D13="F",0))))</f>
        <v/>
      </c>
      <c r="F13" s="29" t="n"/>
      <c r="G13" s="46">
        <f>IF(F13="A",1,IF(F13="B",0.75,IF(F13="C",0.5,IF(F13="F",0))))</f>
        <v/>
      </c>
      <c r="H13" s="29" t="n"/>
      <c r="I13" s="46">
        <f>IF(H13="A",1,IF(H13="B",0.75,IF(H13="C",0.5,IF(H13="F",0))))</f>
        <v/>
      </c>
      <c r="J13" s="29" t="n"/>
      <c r="K13" s="46">
        <f>IF(J13="A",1,IF(J13="B",0.75,IF(J13="C",0.5,IF(J13="F",0))))</f>
        <v/>
      </c>
      <c r="L13" s="29" t="n"/>
      <c r="M13" s="46">
        <f>IF(L13="A",1,IF(L13="B",0.75,IF(L13="C",0.5,IF(L13="F",0))))</f>
        <v/>
      </c>
    </row>
    <row r="14"/>
    <row r="15">
      <c r="A15" s="45" t="inlineStr">
        <is>
          <t>TOTAL SCORE ADMINISTRATIVE</t>
        </is>
      </c>
      <c r="B15" s="45" t="n"/>
      <c r="C15" s="44">
        <f>SUM(C3*0.1, C5*0.1, C7*0.1, C9*0.5,C11*0.1,C13*0.1)</f>
        <v/>
      </c>
      <c r="D15" s="44" t="n"/>
      <c r="E15" s="44">
        <f>SUM(E3*0.1, E5*0.1, E7*0.1, E9*0.55,E11*0.1,E13*0.05)</f>
        <v/>
      </c>
      <c r="F15" s="44" t="n"/>
      <c r="G15" s="44">
        <f>SUM(G3*0.1, G5*0.1, G7*0.1, G9*0.55,G11*0.1,G13*0.05)</f>
        <v/>
      </c>
      <c r="H15" s="44" t="n"/>
      <c r="I15" s="44">
        <f>SUM(I3*0.1, I5*0.1, I7*0.1, I9*0.55,I11*0.1,I13*0.05)</f>
        <v/>
      </c>
      <c r="J15" s="44" t="n"/>
      <c r="K15" s="44">
        <f>SUM(K3*0.1, K5*0.1, K7*0.1, K9*0.55,K11*0.1,K13*0.05)</f>
        <v/>
      </c>
      <c r="L15" s="44" t="n"/>
      <c r="M15" s="44">
        <f>SUM(M3*0.2, M5*0.1, M7*0.1, M9*0.55,M11*0.05)</f>
        <v/>
      </c>
    </row>
    <row r="16">
      <c r="A16" s="2" t="n"/>
      <c r="B16" s="2" t="n"/>
      <c r="C16" s="2" t="n"/>
      <c r="D16" s="2" t="n"/>
      <c r="E16" s="51" t="n"/>
      <c r="F16" s="2" t="n"/>
      <c r="G16" s="51" t="n"/>
      <c r="H16" s="2" t="n"/>
      <c r="I16" s="51" t="n"/>
      <c r="J16" s="2" t="n"/>
      <c r="K16" s="51" t="n"/>
      <c r="L16" s="2" t="n"/>
      <c r="M16" s="51" t="n"/>
    </row>
    <row r="17">
      <c r="A17" s="2" t="inlineStr">
        <is>
          <t>GPRA MEASURES</t>
        </is>
      </c>
    </row>
    <row r="18">
      <c r="A18" s="38" t="inlineStr">
        <is>
          <t>GPRA 1: Hired</t>
        </is>
      </c>
      <c r="B18" s="25" t="n"/>
      <c r="C18" s="39" t="n"/>
      <c r="D18" s="39" t="n"/>
      <c r="E18" s="52" t="n"/>
      <c r="F18" s="53" t="n"/>
      <c r="G18" s="52" t="n"/>
      <c r="H18" s="53" t="n"/>
      <c r="I18" s="52" t="n"/>
      <c r="J18" s="53" t="n"/>
      <c r="K18" s="52" t="n"/>
      <c r="L18" s="53" t="n"/>
      <c r="M18" s="52" t="n"/>
    </row>
    <row r="19">
      <c r="A19" s="41" t="inlineStr">
        <is>
          <t>GPRA 2: Retained</t>
        </is>
      </c>
      <c r="B19" s="40" t="n"/>
      <c r="C19" s="39" t="n"/>
      <c r="D19" s="39" t="n"/>
      <c r="E19" s="56" t="n"/>
      <c r="F19" s="55" t="n"/>
      <c r="G19" s="56" t="n"/>
      <c r="H19" s="55" t="n"/>
      <c r="I19" s="56" t="n"/>
      <c r="J19" s="55" t="n"/>
      <c r="K19" s="56" t="n"/>
      <c r="L19" s="55" t="n"/>
      <c r="M19" s="56" t="n"/>
    </row>
    <row r="20">
      <c r="A20" t="inlineStr">
        <is>
          <t>GPRA 3: Ratio</t>
        </is>
      </c>
      <c r="B20" s="40" t="n"/>
      <c r="C20" s="39" t="n"/>
      <c r="D20" s="39" t="n"/>
      <c r="E20" s="56" t="n"/>
      <c r="F20" s="55" t="n"/>
      <c r="G20" s="56" t="n"/>
      <c r="H20" s="55" t="n"/>
      <c r="I20" s="56" t="n"/>
      <c r="J20" s="55" t="n"/>
      <c r="K20" s="56" t="n"/>
      <c r="L20" s="55" t="n"/>
      <c r="M20" s="56" t="n"/>
    </row>
    <row r="21">
      <c r="A21" s="39" t="inlineStr">
        <is>
          <t>GPRA 4: Attrition</t>
        </is>
      </c>
      <c r="B21" s="40" t="n"/>
      <c r="C21" s="39" t="n"/>
      <c r="D21" s="39" t="n"/>
      <c r="E21" s="56" t="n"/>
      <c r="F21" s="55" t="n"/>
      <c r="G21" s="56" t="n"/>
      <c r="H21" s="55" t="n"/>
      <c r="I21" s="56" t="n"/>
      <c r="J21" s="55" t="n"/>
      <c r="K21" s="56" t="n"/>
      <c r="L21" s="55" t="n"/>
      <c r="M21" s="56" t="n"/>
    </row>
    <row r="22">
      <c r="A22" s="42" t="inlineStr">
        <is>
          <t>[Note redacted for anonymization]</t>
        </is>
      </c>
      <c r="B22" s="29" t="n"/>
      <c r="C22" s="39" t="n"/>
      <c r="D22" s="39" t="n"/>
      <c r="E22" s="54" t="n"/>
      <c r="F22" s="55" t="n"/>
      <c r="G22" s="54" t="n"/>
      <c r="H22" s="55" t="n"/>
      <c r="I22" s="54" t="n"/>
      <c r="J22" s="55" t="n"/>
      <c r="K22" s="54" t="n"/>
      <c r="L22" s="55" t="n"/>
      <c r="M22" s="54" t="n"/>
    </row>
    <row r="23">
      <c r="A23" s="44" t="inlineStr">
        <is>
          <t>TOTAL SCORE GPRA</t>
        </is>
      </c>
      <c r="B23" s="44">
        <f>SUM(B18*0.4, B19*0.2, B20*0.1, B21*0.2, B22*0.1)</f>
        <v/>
      </c>
      <c r="C23" s="44" t="n"/>
      <c r="D23" s="44" t="n"/>
      <c r="E23" s="44">
        <f>-SUM(E18*0.4, E19*0.2, E20*0.1, E21*0.2, E22*0.1)</f>
        <v/>
      </c>
      <c r="F23" s="44" t="n"/>
      <c r="G23" s="44">
        <f>-SUM(G18*0.4, G19*0.2, G20*0.1, G21*0.2, G22*0.1)</f>
        <v/>
      </c>
      <c r="H23" s="44" t="n"/>
      <c r="I23" s="44">
        <f>-SUM(I18*0.4, I19*0.2, I20*0.1, I21*0.2, I22*0.1)</f>
        <v/>
      </c>
      <c r="J23" s="44" t="n"/>
      <c r="K23" s="44">
        <f>-SUM(K18*0.4, K19*0.2, K20*0.1, K21*0.2, K22*0.1)</f>
        <v/>
      </c>
      <c r="L23" s="44" t="n"/>
      <c r="M23" s="44">
        <f>-SUM(M18*0.4, M19*0.2, M20*0.1, M21*0.2, M22*0.1)</f>
        <v/>
      </c>
    </row>
    <row r="24"/>
    <row r="25"/>
    <row r="26">
      <c r="A26" s="47" t="inlineStr">
        <is>
          <t>TOTAL SCORES</t>
        </is>
      </c>
      <c r="B26" s="47" t="n"/>
      <c r="C26" s="48">
        <f>SUM(C15*0.6, B23*0.4)</f>
        <v/>
      </c>
      <c r="D26" s="47" t="n"/>
      <c r="E26" s="48">
        <f>SUM(E15*0.6, E23*0.4)</f>
        <v/>
      </c>
      <c r="F26" s="48" t="n"/>
      <c r="G26" s="48">
        <f>SUM(G15*0.6, G23*0.4)</f>
        <v/>
      </c>
      <c r="H26" s="48" t="n"/>
      <c r="I26" s="48">
        <f>SUM(I15*0.5, I23*0.5)</f>
        <v/>
      </c>
      <c r="J26" s="48" t="n"/>
      <c r="K26" s="48">
        <f>SUM(K15*0.4, K23*0.6)</f>
        <v/>
      </c>
      <c r="L26" s="48" t="n"/>
      <c r="M26" s="48">
        <f>SUM(M15*0.3, M23*0.7)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33" activePane="bottomLeft" state="frozen"/>
      <selection pane="bottomLeft" activeCell="B42" sqref="A1:XFD1048576"/>
    </sheetView>
  </sheetViews>
  <sheetFormatPr baseColWidth="8" defaultRowHeight="14.45"/>
  <cols>
    <col width="50.7109375" customWidth="1" style="12" min="2" max="2"/>
    <col width="7.7109375" customWidth="1" style="12" min="3" max="3"/>
    <col width="9.28515625" customWidth="1" style="12" min="4" max="4"/>
    <col width="8.28515625" customWidth="1" style="12" min="5" max="5"/>
    <col width="7.5703125" customWidth="1" style="12" min="6" max="6"/>
    <col width="7.7109375" customWidth="1" style="12" min="7" max="7"/>
    <col width="6.42578125" customWidth="1" style="12" min="8" max="8"/>
    <col width="7.7109375" customWidth="1" style="12" min="9" max="9"/>
    <col width="6" customWidth="1" style="12" min="10" max="10"/>
    <col width="44.5703125" customWidth="1" style="12" min="15" max="15"/>
  </cols>
  <sheetData>
    <row r="1">
      <c r="B1" s="2" t="inlineStr">
        <is>
          <t>Measure</t>
        </is>
      </c>
      <c r="C1" s="25" t="inlineStr">
        <is>
          <t>EXAMPLE</t>
        </is>
      </c>
      <c r="D1" s="25" t="n"/>
      <c r="E1" s="27" t="inlineStr">
        <is>
          <t>Y1</t>
        </is>
      </c>
      <c r="F1" s="28" t="n"/>
      <c r="G1" s="28" t="inlineStr">
        <is>
          <t>Y2</t>
        </is>
      </c>
      <c r="H1" s="28" t="n"/>
      <c r="I1" s="28" t="inlineStr">
        <is>
          <t>Y3</t>
        </is>
      </c>
      <c r="J1" s="28" t="n"/>
      <c r="K1" s="28" t="inlineStr">
        <is>
          <t>Y4</t>
        </is>
      </c>
      <c r="L1" s="28" t="n"/>
      <c r="M1" s="28" t="inlineStr">
        <is>
          <t>Y5</t>
        </is>
      </c>
      <c r="O1" s="28" t="inlineStr">
        <is>
          <t>Notes</t>
        </is>
      </c>
    </row>
    <row r="2">
      <c r="B2" s="3" t="inlineStr">
        <is>
          <t>Financial, LAB &gt;70%</t>
        </is>
      </c>
      <c r="C2" s="30" t="inlineStr">
        <is>
          <t>A</t>
        </is>
      </c>
      <c r="D2" s="26">
        <f>IF(C2="A",1,IF(C2="B",0.75,IF(C2="C",0.5,IF(C2="F",0))))</f>
        <v/>
      </c>
      <c r="E2" s="29" t="n"/>
      <c r="F2">
        <f>IF(E2="A",1,IF(E2="B",0.75,IF(E2="C",0.5,IF(E2="F",0))))</f>
        <v/>
      </c>
      <c r="G2" s="29" t="n"/>
      <c r="H2">
        <f>IF(G2="A",1,IF(G2="B",0.75,IF(G2="C",0.5,IF(G2="F",0))))</f>
        <v/>
      </c>
      <c r="I2" s="29" t="n"/>
      <c r="J2">
        <f>IF(I2="A",1,IF(I2="B",0.75,IF(I2="C",0.5,IF(I2="F",0))))</f>
        <v/>
      </c>
      <c r="K2" s="29" t="n"/>
      <c r="L2">
        <f>IF(K2="A",1,IF(K2="B",0.75,IF(K2="C",0.5,IF(K2="F",0))))</f>
        <v/>
      </c>
      <c r="M2" s="29" t="n"/>
      <c r="N2">
        <f>IF(M2="A",1,IF(M2="B",0.75,IF(M2="C",0.5,IF(M2="F",0))))</f>
        <v/>
      </c>
    </row>
    <row r="3">
      <c r="A3" s="16" t="inlineStr">
        <is>
          <t>A</t>
        </is>
      </c>
      <c r="B3" t="inlineStr">
        <is>
          <t>No LAB</t>
        </is>
      </c>
      <c r="C3" s="25" t="n"/>
      <c r="D3" s="26" t="n"/>
    </row>
    <row r="4">
      <c r="A4" s="15" t="inlineStr">
        <is>
          <t>B</t>
        </is>
      </c>
      <c r="B4" t="inlineStr">
        <is>
          <t>&gt;=2 quarters, making progress, no concerns</t>
        </is>
      </c>
      <c r="C4" s="25" t="n"/>
      <c r="D4" s="26" t="n"/>
    </row>
    <row r="5">
      <c r="A5" s="14" t="inlineStr">
        <is>
          <t>C</t>
        </is>
      </c>
      <c r="B5" t="inlineStr">
        <is>
          <t>&gt;= 3 quarters w explanation</t>
        </is>
      </c>
      <c r="C5" s="25" t="n"/>
      <c r="D5" s="26" t="n"/>
    </row>
    <row r="6">
      <c r="A6" s="13" t="inlineStr">
        <is>
          <t>F</t>
        </is>
      </c>
      <c r="B6" t="inlineStr">
        <is>
          <t>All 4 quarters, 70-100%</t>
        </is>
      </c>
      <c r="C6" s="25" t="n"/>
      <c r="D6" s="26" t="n"/>
    </row>
    <row r="7">
      <c r="C7" s="25" t="n"/>
      <c r="D7" s="26" t="n"/>
    </row>
    <row r="8">
      <c r="C8" s="25" t="n"/>
      <c r="D8" s="26" t="n"/>
    </row>
    <row r="9">
      <c r="B9" s="3" t="inlineStr">
        <is>
          <t>Financial, Excessive Drawdowns</t>
        </is>
      </c>
      <c r="C9" s="30" t="inlineStr">
        <is>
          <t>F</t>
        </is>
      </c>
      <c r="D9" s="26">
        <f>IF(C9="A",1,IF(C9="B",0.75,IF(C9="C",0.5,IF(C9="F",0))))</f>
        <v/>
      </c>
      <c r="E9" s="29" t="n"/>
      <c r="F9">
        <f>IF(E9="A",1,IF(E9="B",0.75,IF(E9="C",0.5,IF(E9="F",0))))</f>
        <v/>
      </c>
      <c r="G9" s="29" t="n"/>
      <c r="H9">
        <f>IF(G9="A",1,IF(G9="B",0.75,IF(G9="C",0.5,IF(G9="F",0))))</f>
        <v/>
      </c>
      <c r="I9" s="29" t="n"/>
      <c r="J9">
        <f>IF(I9="A",1,IF(I9="B",0.75,IF(I9="C",0.5,IF(I9="F",0))))</f>
        <v/>
      </c>
      <c r="K9" s="29" t="n"/>
      <c r="L9">
        <f>IF(K9="A",1,IF(K9="B",0.75,IF(K9="C",0.5,IF(K9="F",0))))</f>
        <v/>
      </c>
      <c r="M9" s="29" t="n"/>
      <c r="N9">
        <f>IF(M9="A",1,IF(M9="B",0.75,IF(M9="C",0.5,IF(M9="F",0))))</f>
        <v/>
      </c>
    </row>
    <row r="10">
      <c r="A10" s="16" t="inlineStr">
        <is>
          <t>A</t>
        </is>
      </c>
      <c r="B10" t="inlineStr">
        <is>
          <t>No ED</t>
        </is>
      </c>
      <c r="C10" s="25" t="n"/>
      <c r="D10" s="26" t="n"/>
    </row>
    <row r="11">
      <c r="A11" s="15" t="inlineStr">
        <is>
          <t>B</t>
        </is>
      </c>
      <c r="B11" t="inlineStr">
        <is>
          <t>Explained and paid back, no concerns</t>
        </is>
      </c>
      <c r="C11" s="25" t="n"/>
      <c r="D11" s="26" t="n"/>
    </row>
    <row r="12">
      <c r="A12" s="14" t="inlineStr">
        <is>
          <t>C</t>
        </is>
      </c>
      <c r="B12" t="inlineStr">
        <is>
          <t>Once, not paid back in timely fashion</t>
        </is>
      </c>
      <c r="C12" s="25" t="n"/>
      <c r="D12" s="26" t="n"/>
    </row>
    <row r="13">
      <c r="A13" s="13" t="inlineStr">
        <is>
          <t>F</t>
        </is>
      </c>
      <c r="B13" t="inlineStr">
        <is>
          <t>More than once, all funds or large amount, not paid back timely</t>
        </is>
      </c>
      <c r="C13" s="25" t="n"/>
      <c r="D13" s="26" t="n"/>
    </row>
    <row r="14">
      <c r="C14" s="25" t="n"/>
      <c r="D14" s="26" t="n"/>
    </row>
    <row r="15">
      <c r="B15" s="3" t="inlineStr">
        <is>
          <t>Performance, PD changes or staffing turnover</t>
        </is>
      </c>
      <c r="C15" s="30" t="inlineStr">
        <is>
          <t>B</t>
        </is>
      </c>
      <c r="D15" s="26">
        <f>IF(C15="A",1,IF(C15="B",0.75,IF(C15="C",0.5,IF(C15="F",0))))</f>
        <v/>
      </c>
      <c r="E15" s="29" t="n"/>
      <c r="F15">
        <f>IF(E15="A",1,IF(E15="B",0.75,IF(E15="C",0.5,IF(E15="F",0))))</f>
        <v/>
      </c>
      <c r="G15" s="29" t="n"/>
      <c r="H15">
        <f>IF(G15="A",1,IF(G15="B",0.75,IF(G15="C",0.5,IF(G15="F",0))))</f>
        <v/>
      </c>
      <c r="I15" s="29" t="n"/>
      <c r="J15">
        <f>IF(I15="A",1,IF(I15="B",0.75,IF(I15="C",0.5,IF(I15="F",0))))</f>
        <v/>
      </c>
      <c r="K15" s="29" t="n"/>
      <c r="L15">
        <f>IF(K15="A",1,IF(K15="B",0.75,IF(K15="C",0.5,IF(K15="F",0))))</f>
        <v/>
      </c>
      <c r="M15" s="29" t="n"/>
      <c r="N15">
        <f>IF(M15="A",1,IF(M15="B",0.75,IF(M15="C",0.5,IF(M15="F",0))))</f>
        <v/>
      </c>
    </row>
    <row r="16" ht="28.9" customHeight="1" s="12">
      <c r="A16" s="16" t="inlineStr">
        <is>
          <t>A</t>
        </is>
      </c>
      <c r="B16" s="17" t="inlineStr">
        <is>
          <t>No PD changes or normal shifting of staff as project starts or proceeds</t>
        </is>
      </c>
      <c r="C16" s="25" t="n"/>
      <c r="D16" s="26" t="n"/>
    </row>
    <row r="17">
      <c r="A17" s="15" t="inlineStr">
        <is>
          <t>B</t>
        </is>
      </c>
      <c r="B17" t="inlineStr">
        <is>
          <t>Unclear staffing or some concern</t>
        </is>
      </c>
      <c r="C17" s="25" t="n"/>
      <c r="D17" s="26" t="n"/>
    </row>
    <row r="18">
      <c r="A18" s="14" t="inlineStr">
        <is>
          <t>C</t>
        </is>
      </c>
      <c r="B18" t="inlineStr">
        <is>
          <t>More than 1 PD or staff turnover</t>
        </is>
      </c>
      <c r="C18" s="25" t="n"/>
      <c r="D18" s="26" t="n"/>
    </row>
    <row r="19">
      <c r="A19" s="13" t="inlineStr">
        <is>
          <t>F</t>
        </is>
      </c>
      <c r="B19" t="inlineStr">
        <is>
          <t>High, more than 2 PDs</t>
        </is>
      </c>
      <c r="C19" s="25" t="n"/>
      <c r="D19" s="26" t="n"/>
    </row>
    <row r="20">
      <c r="C20" s="25" t="n"/>
      <c r="D20" s="26" t="n"/>
    </row>
    <row r="21">
      <c r="B21" s="3" t="inlineStr">
        <is>
          <t>Performance, other</t>
        </is>
      </c>
      <c r="C21" s="30" t="inlineStr">
        <is>
          <t>B</t>
        </is>
      </c>
      <c r="D21" s="26">
        <f>IF(C21="A",1,IF(C21="B",0.75,IF(C21="C",0.5,IF(C21="F",0))))</f>
        <v/>
      </c>
      <c r="E21" s="29" t="n"/>
      <c r="F21">
        <f>IF(E21="A",1,IF(E21="B",0.75,IF(E21="C",0.5,IF(E21="F",0))))</f>
        <v/>
      </c>
      <c r="G21" s="29" t="n"/>
      <c r="H21">
        <f>IF(G21="A",1,IF(G21="B",0.75,IF(G21="C",0.5,IF(G21="F",0))))</f>
        <v/>
      </c>
      <c r="I21" s="29" t="n"/>
      <c r="J21">
        <f>IF(I21="A",1,IF(I21="B",0.75,IF(I21="C",0.5,IF(I21="F",0))))</f>
        <v/>
      </c>
      <c r="K21" s="29" t="n"/>
      <c r="L21">
        <f>IF(K21="A",1,IF(K21="B",0.75,IF(K21="C",0.5,IF(K21="F",0))))</f>
        <v/>
      </c>
      <c r="M21" s="29" t="n"/>
      <c r="N21">
        <f>IF(M21="A",1,IF(M21="B",0.75,IF(M21="C",0.5,IF(M21="F",0))))</f>
        <v/>
      </c>
    </row>
    <row r="22">
      <c r="A22" s="16" t="inlineStr">
        <is>
          <t>A</t>
        </is>
      </c>
      <c r="B22" t="inlineStr">
        <is>
          <t>No concerns</t>
        </is>
      </c>
      <c r="C22" s="25" t="n"/>
      <c r="D22" s="26" t="n"/>
    </row>
    <row r="23" ht="43.15" customHeight="1" s="12">
      <c r="A23" s="15" t="inlineStr">
        <is>
          <t>B</t>
        </is>
      </c>
      <c r="B23" s="17" t="inlineStr">
        <is>
          <t>Some questions about performance or pace of project, lack of clarity on or concern about at least one aspect of performance</t>
        </is>
      </c>
      <c r="C23" s="25" t="n"/>
      <c r="D23" s="26" t="n"/>
    </row>
    <row r="24" ht="57.6" customHeight="1" s="12">
      <c r="A24" s="14" t="inlineStr">
        <is>
          <t>C</t>
        </is>
      </c>
      <c r="B24" s="17" t="inlineStr">
        <is>
          <t>Inconsistent contact/response time, frequent changes to plan, late reports, unclear partnerships, lack of clarity on or concern about a few aspects of performance but they are making progress</t>
        </is>
      </c>
      <c r="C24" s="25" t="n"/>
      <c r="D24" s="26" t="n"/>
    </row>
    <row r="25" ht="57.6" customHeight="1" s="12">
      <c r="A25" s="13" t="inlineStr">
        <is>
          <t>F</t>
        </is>
      </c>
      <c r="B25" s="17" t="inlineStr">
        <is>
          <t>Grantee is unresponsive or slow to respond, late APR or IPR, frequent changes to plan, goals are unclear, unable to identify partners or challenges with partners, adding new partners</t>
        </is>
      </c>
      <c r="C25" s="25" t="n"/>
      <c r="D25" s="26" t="n"/>
    </row>
    <row r="26">
      <c r="C26" s="25" t="n"/>
      <c r="D26" s="26" t="n"/>
    </row>
    <row r="27" ht="28.9" customHeight="1" s="12">
      <c r="B27" s="34" t="inlineStr">
        <is>
          <t>Internal controls (could include financial adjustments, lack of drawdowns)</t>
        </is>
      </c>
      <c r="C27" s="30" t="inlineStr">
        <is>
          <t>C</t>
        </is>
      </c>
      <c r="D27" s="26">
        <f>IF(C27="A",1,IF(C27="B",0.75,IF(C27="C",0.5,IF(C27="F",0))))</f>
        <v/>
      </c>
      <c r="E27" s="29" t="n"/>
      <c r="F27">
        <f>IF(E27="A",1,IF(E27="B",0.75,IF(E27="C",0.5,IF(E27="F",0))))</f>
        <v/>
      </c>
      <c r="G27" s="29" t="n"/>
      <c r="H27">
        <f>IF(G27="A",1,IF(G27="B",0.75,IF(G27="C",0.5,IF(G27="F",0))))</f>
        <v/>
      </c>
      <c r="I27" s="29" t="n"/>
      <c r="J27">
        <f>IF(I27="A",1,IF(I27="B",0.75,IF(I27="C",0.5,IF(I27="F",0))))</f>
        <v/>
      </c>
      <c r="K27" s="29" t="n"/>
      <c r="L27">
        <f>IF(K27="A",1,IF(K27="B",0.75,IF(K27="C",0.5,IF(K27="F",0))))</f>
        <v/>
      </c>
      <c r="M27" s="29" t="n"/>
      <c r="N27">
        <f>IF(M27="A",1,IF(M27="B",0.75,IF(M27="C",0.5,IF(M27="F",0))))</f>
        <v/>
      </c>
    </row>
    <row r="28">
      <c r="A28" s="16" t="inlineStr">
        <is>
          <t>A</t>
        </is>
      </c>
      <c r="B28" t="inlineStr">
        <is>
          <t>No concerns</t>
        </is>
      </c>
      <c r="C28" s="25" t="n"/>
      <c r="D28" s="26" t="n"/>
    </row>
    <row r="29">
      <c r="A29" s="15" t="inlineStr">
        <is>
          <t>B</t>
        </is>
      </c>
      <c r="B29" t="inlineStr">
        <is>
          <t>Minimal concerns noted but not impeding progress</t>
        </is>
      </c>
      <c r="C29" s="25" t="n"/>
      <c r="D29" s="26" t="n"/>
    </row>
    <row r="30">
      <c r="A30" s="14" t="inlineStr">
        <is>
          <t>C</t>
        </is>
      </c>
      <c r="B30" t="inlineStr">
        <is>
          <t>Questionable internal controls</t>
        </is>
      </c>
      <c r="C30" s="25" t="n"/>
      <c r="D30" s="26" t="n"/>
    </row>
    <row r="31" ht="28.9" customHeight="1" s="12">
      <c r="A31" s="13" t="inlineStr">
        <is>
          <t>F</t>
        </is>
      </c>
      <c r="B31" s="17" t="inlineStr">
        <is>
          <t>Seeming lack of internal controls (questionable PD, financial management, no AR, etc)</t>
        </is>
      </c>
      <c r="C31" s="25" t="n"/>
      <c r="D31" s="26" t="n"/>
    </row>
    <row r="32">
      <c r="C32" s="25" t="n"/>
      <c r="D32" s="26" t="n"/>
    </row>
    <row r="33">
      <c r="B33" t="inlineStr">
        <is>
          <t>Conditions</t>
        </is>
      </c>
      <c r="C33" s="30" t="inlineStr">
        <is>
          <t>A</t>
        </is>
      </c>
      <c r="D33" s="26">
        <f>IF(C33="A",1,IF(C33="B",0.75,IF(C33="C",0.5,IF(C33="F",0))))</f>
        <v/>
      </c>
      <c r="E33" s="29" t="n"/>
      <c r="F33">
        <f>IF(E33="A",1,IF(E33="B",0.75,IF(E33="C",0.5,IF(E33="F",0))))</f>
        <v/>
      </c>
      <c r="G33" s="29" t="n"/>
      <c r="H33">
        <f>IF(G33="A",1,IF(G33="B",0.75,IF(G33="C",0.5,IF(G33="F",0))))</f>
        <v/>
      </c>
      <c r="I33" s="29" t="n"/>
      <c r="J33">
        <f>IF(I33="A",1,IF(I33="B",0.75,IF(I33="C",0.5,IF(I33="F",0))))</f>
        <v/>
      </c>
      <c r="K33" s="29" t="n"/>
      <c r="L33">
        <f>IF(K33="A",1,IF(K33="B",0.75,IF(K33="C",0.5,IF(K33="F",0))))</f>
        <v/>
      </c>
      <c r="M33" s="29" t="n"/>
      <c r="N33">
        <f>IF(M33="A",1,IF(M33="B",0.75,IF(M33="C",0.5,IF(M33="F",0))))</f>
        <v/>
      </c>
    </row>
    <row r="34">
      <c r="A34" s="16" t="inlineStr">
        <is>
          <t>A</t>
        </is>
      </c>
      <c r="B34" t="inlineStr">
        <is>
          <t>Conditions met/no conditions</t>
        </is>
      </c>
      <c r="C34" s="25" t="n"/>
      <c r="D34" s="25" t="n"/>
    </row>
    <row r="35">
      <c r="A35" s="15" t="inlineStr">
        <is>
          <t>B</t>
        </is>
      </c>
      <c r="B35" t="inlineStr">
        <is>
          <t>Conditions met/no conditions</t>
        </is>
      </c>
      <c r="C35" s="25" t="n"/>
      <c r="D35" s="25" t="n"/>
    </row>
    <row r="36">
      <c r="A36" s="14" t="inlineStr">
        <is>
          <t>C</t>
        </is>
      </c>
      <c r="B36" t="inlineStr">
        <is>
          <t>Conditions not met but working towards</t>
        </is>
      </c>
      <c r="C36" s="25" t="n"/>
      <c r="D36" s="25" t="n"/>
    </row>
    <row r="37">
      <c r="A37" s="13" t="inlineStr">
        <is>
          <t>F</t>
        </is>
      </c>
      <c r="B37" t="inlineStr">
        <is>
          <t>Conditions not met in timely fashion</t>
        </is>
      </c>
      <c r="C37" s="25" t="n"/>
      <c r="D37" s="25" t="n"/>
    </row>
    <row r="39">
      <c r="B39" s="11" t="inlineStr">
        <is>
          <t>TOTAL SCORE</t>
        </is>
      </c>
      <c r="C39" s="25" t="n"/>
      <c r="D39" s="26">
        <f>SUM(D2*0.1, D9*0.1, D15*0.1, D21*0.5,D27*0.1,D33*0.1)</f>
        <v/>
      </c>
      <c r="E39" s="26" t="n"/>
      <c r="F39" s="26">
        <f>SUM(F2*0.1, F9*0.1, F15*0.1, F21*0.5,F27*0.1,F33*0.1)</f>
        <v/>
      </c>
      <c r="G39" s="26" t="n"/>
      <c r="H39" s="26">
        <f>SUM(H2*0.1, H9*0.1, H15*0.1, H21*0.5,H27*0.1,H33*0.1)</f>
        <v/>
      </c>
      <c r="I39" s="26" t="n"/>
      <c r="J39" s="26">
        <f>SUM(J2*0.1, J9*0.1, J15*0.1, J21*0.5,J27*0.1,J33*0.1)</f>
        <v/>
      </c>
      <c r="K39" s="26" t="n"/>
      <c r="L39" s="26">
        <f>SUM(L2*0.1, L9*0.1, L15*0.1, L21*0.5,L27*0.1,L33*0.1)</f>
        <v/>
      </c>
      <c r="M39" s="26" t="n"/>
      <c r="N39" s="26">
        <f>SUM(N2*0.2, N9*0.1, N15*0.1, N21*0.5,N27*0.1)</f>
        <v/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topLeftCell="A7" workbookViewId="0">
      <selection activeCell="D11" sqref="D11"/>
    </sheetView>
  </sheetViews>
  <sheetFormatPr baseColWidth="8" defaultRowHeight="14.45"/>
  <cols>
    <col width="32.5703125" customWidth="1" style="12" min="1" max="1"/>
    <col width="15.28515625" customWidth="1" style="12" min="2" max="3"/>
    <col width="10.42578125" customWidth="1" style="12" min="4" max="4"/>
  </cols>
  <sheetData>
    <row r="1">
      <c r="A1" t="inlineStr">
        <is>
          <t>GPRA Measures</t>
        </is>
      </c>
      <c r="B1" t="inlineStr">
        <is>
          <t>Example</t>
        </is>
      </c>
      <c r="C1" s="58" t="inlineStr">
        <is>
          <t>Y1</t>
        </is>
      </c>
      <c r="D1" s="58" t="inlineStr">
        <is>
          <t>Y2</t>
        </is>
      </c>
      <c r="E1" s="58" t="inlineStr">
        <is>
          <t>Y3</t>
        </is>
      </c>
      <c r="F1" s="58" t="inlineStr">
        <is>
          <t>Y4</t>
        </is>
      </c>
      <c r="G1" s="58" t="inlineStr">
        <is>
          <t>Y5</t>
        </is>
      </c>
    </row>
    <row r="2">
      <c r="A2" t="inlineStr">
        <is>
          <t>1=YES, 0=NO</t>
        </is>
      </c>
      <c r="C2" s="58" t="inlineStr">
        <is>
          <t>Score</t>
        </is>
      </c>
    </row>
    <row r="4">
      <c r="A4" s="5" t="inlineStr">
        <is>
          <t>GPRA 1: HIRED</t>
        </is>
      </c>
      <c r="B4" s="18" t="n">
        <v>1</v>
      </c>
    </row>
    <row r="5">
      <c r="A5" s="6" t="inlineStr">
        <is>
          <t>Y1: 20-25% of target</t>
        </is>
      </c>
    </row>
    <row r="6">
      <c r="A6" s="7" t="inlineStr">
        <is>
          <t>Y2: 25-50% of target</t>
        </is>
      </c>
    </row>
    <row r="7">
      <c r="A7" s="7" t="inlineStr">
        <is>
          <t>Y3: 50-70% of target</t>
        </is>
      </c>
    </row>
    <row r="8">
      <c r="A8" s="7" t="inlineStr">
        <is>
          <t>Y4: 70-90% of target</t>
        </is>
      </c>
    </row>
    <row r="9">
      <c r="A9" s="7" t="inlineStr">
        <is>
          <t>Y5: 90-100% of target</t>
        </is>
      </c>
    </row>
    <row r="11">
      <c r="A11" s="8" t="inlineStr">
        <is>
          <t xml:space="preserve"> GPRA 2: Retained</t>
        </is>
      </c>
      <c r="B11" s="18" t="n">
        <v>1</v>
      </c>
    </row>
    <row r="12">
      <c r="A12" t="inlineStr">
        <is>
          <t>Y1: 20-25% of target</t>
        </is>
      </c>
    </row>
    <row r="13">
      <c r="A13" s="10" t="inlineStr">
        <is>
          <t>Y2: 25-50% of target</t>
        </is>
      </c>
    </row>
    <row r="14">
      <c r="A14" s="10" t="inlineStr">
        <is>
          <t>Y3: 50-70% of target</t>
        </is>
      </c>
    </row>
    <row r="15">
      <c r="A15" s="10" t="inlineStr">
        <is>
          <t>Y4: 70-90% of target</t>
        </is>
      </c>
    </row>
    <row r="16">
      <c r="A16" s="10" t="inlineStr">
        <is>
          <t>Y5: 90-100% of target</t>
        </is>
      </c>
    </row>
    <row r="18">
      <c r="A18" s="8" t="inlineStr">
        <is>
          <t>GPRA 3: Ratio</t>
        </is>
      </c>
      <c r="B18" s="18" t="n">
        <v>1</v>
      </c>
    </row>
    <row r="19">
      <c r="A19" s="10" t="inlineStr">
        <is>
          <t>Y1: Ratio is improving</t>
        </is>
      </c>
    </row>
    <row r="20">
      <c r="A20" s="10" t="inlineStr">
        <is>
          <t>Y2: Ratio improved or stable</t>
        </is>
      </c>
    </row>
    <row r="21">
      <c r="A21" s="10" t="inlineStr">
        <is>
          <t>Y3: Ratio improved or stable</t>
        </is>
      </c>
    </row>
    <row r="22">
      <c r="A22" s="10" t="inlineStr">
        <is>
          <t>Y4: Ratio improved or stable</t>
        </is>
      </c>
    </row>
    <row r="23">
      <c r="A23" s="10" t="inlineStr">
        <is>
          <t>Y5: Ratio improved or stable</t>
        </is>
      </c>
    </row>
    <row r="25">
      <c r="A25" s="4" t="inlineStr">
        <is>
          <t>GPRA 4: Attrition</t>
        </is>
      </c>
      <c r="B25" s="18" t="n">
        <v>0</v>
      </c>
    </row>
    <row r="26">
      <c r="A26" t="inlineStr">
        <is>
          <t>Y1: 10% of target</t>
        </is>
      </c>
    </row>
    <row r="27">
      <c r="A27" t="inlineStr">
        <is>
          <t>Y2: 11-25% of target</t>
        </is>
      </c>
    </row>
    <row r="28">
      <c r="A28" t="inlineStr">
        <is>
          <t>Y3: 26-50% of target</t>
        </is>
      </c>
    </row>
    <row r="29">
      <c r="A29" t="inlineStr">
        <is>
          <t>Y4: 51-75% of target</t>
        </is>
      </c>
    </row>
    <row r="30">
      <c r="A30" t="inlineStr">
        <is>
          <t>Y5: 76-100% of target</t>
        </is>
      </c>
    </row>
    <row r="31"/>
    <row r="32">
      <c r="A32" s="4" t="inlineStr">
        <is>
          <t>GPRA 5: Students Served</t>
        </is>
      </c>
      <c r="B32" s="18" t="n">
        <v>1</v>
      </c>
    </row>
    <row r="33">
      <c r="A33" t="inlineStr">
        <is>
          <t>Y1: Serving students</t>
        </is>
      </c>
    </row>
    <row r="34">
      <c r="A34" t="inlineStr">
        <is>
          <t>Y2: Number increased or stable</t>
        </is>
      </c>
    </row>
    <row r="35">
      <c r="A35" t="inlineStr">
        <is>
          <t>Y3: Number increased or stable</t>
        </is>
      </c>
    </row>
    <row r="36">
      <c r="A36" t="inlineStr">
        <is>
          <t>Y4: Number increased or stable</t>
        </is>
      </c>
    </row>
    <row r="37">
      <c r="A37" t="inlineStr">
        <is>
          <t>Y5: Number increased or stable</t>
        </is>
      </c>
    </row>
    <row r="38">
      <c r="B38" s="19">
        <f>SUM(B4*0.4,B11*0.3,B18*0.05,B25*0.2,B32*0.05)</f>
        <v/>
      </c>
      <c r="C38" s="19">
        <f>SUM(C4*0.4,C11*0.3,C18*0.05,C25*0.2,C32*0.05)</f>
        <v/>
      </c>
      <c r="D38" s="19">
        <f>SUM(D4*0.5,D11*0.3,D18*0.05,D25*0.1,D32*0.05)</f>
        <v/>
      </c>
      <c r="E38" s="19">
        <f>SUM(E4*0.5,E11*0.3,E18*0.05,E25*0.1,E32*0.05)</f>
        <v/>
      </c>
      <c r="F38" s="19">
        <f>SUM(F4*0.5,F11*0.3,F18*0.05,F25*0.1,F32*0.05)</f>
        <v/>
      </c>
      <c r="G38" s="19">
        <f>SUM(G4*0.5,G11*0.3,G18*0.05,G25*0.1,G32*0.05)</f>
        <v/>
      </c>
    </row>
  </sheetData>
  <mergeCells count="1">
    <mergeCell ref="C2:G2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9" activePane="bottomLeft" state="frozen"/>
      <selection pane="bottomLeft" activeCell="G38" sqref="G38"/>
    </sheetView>
  </sheetViews>
  <sheetFormatPr baseColWidth="8" defaultRowHeight="14.45"/>
  <cols>
    <col width="23.7109375" bestFit="1" customWidth="1" style="12" min="1" max="1"/>
    <col width="11.42578125" customWidth="1" style="12" min="2" max="2"/>
  </cols>
  <sheetData>
    <row r="1">
      <c r="A1" t="inlineStr">
        <is>
          <t>GPRA Measures</t>
        </is>
      </c>
      <c r="B1" s="23" t="inlineStr">
        <is>
          <t>Example</t>
        </is>
      </c>
      <c r="C1" s="58" t="inlineStr">
        <is>
          <t>Y1</t>
        </is>
      </c>
      <c r="D1" s="58" t="inlineStr">
        <is>
          <t>Y2</t>
        </is>
      </c>
      <c r="E1" s="58" t="inlineStr">
        <is>
          <t>Y3</t>
        </is>
      </c>
      <c r="F1" s="58" t="inlineStr">
        <is>
          <t>Y4</t>
        </is>
      </c>
      <c r="G1" s="58" t="inlineStr">
        <is>
          <t>Y5</t>
        </is>
      </c>
    </row>
    <row r="2">
      <c r="A2" t="inlineStr">
        <is>
          <t>1=YES, 0=NO</t>
        </is>
      </c>
      <c r="B2" s="23" t="n"/>
      <c r="C2" s="58" t="inlineStr">
        <is>
          <t>Score</t>
        </is>
      </c>
    </row>
    <row r="3">
      <c r="B3" s="23" t="n"/>
    </row>
    <row r="4">
      <c r="A4" s="35" t="inlineStr">
        <is>
          <t>GPRA 1: TRAINING</t>
        </is>
      </c>
      <c r="B4" s="23" t="n"/>
    </row>
    <row r="5">
      <c r="A5" s="36" t="inlineStr">
        <is>
          <t xml:space="preserve">GPRA 1a: Training Started </t>
        </is>
      </c>
      <c r="B5" s="37" t="n">
        <v>1</v>
      </c>
    </row>
    <row r="6">
      <c r="A6" s="31" t="inlineStr">
        <is>
          <t xml:space="preserve">Y1: 0-5% of target </t>
        </is>
      </c>
      <c r="B6" s="37" t="n"/>
    </row>
    <row r="7">
      <c r="A7" s="31" t="inlineStr">
        <is>
          <t>Y2: 0-10% of target</t>
        </is>
      </c>
      <c r="B7" s="37" t="n"/>
    </row>
    <row r="8">
      <c r="A8" s="31" t="inlineStr">
        <is>
          <t>Y3: 11-25% of target</t>
        </is>
      </c>
      <c r="B8" s="37" t="n"/>
    </row>
    <row r="9">
      <c r="A9" s="31" t="inlineStr">
        <is>
          <t>Y4: 25-75% of target</t>
        </is>
      </c>
      <c r="B9" s="37" t="n"/>
    </row>
    <row r="10">
      <c r="A10" s="31" t="inlineStr">
        <is>
          <t>Y5: 76-100% of target</t>
        </is>
      </c>
      <c r="B10" s="37" t="n"/>
    </row>
    <row r="11">
      <c r="A11" s="36" t="inlineStr">
        <is>
          <t>GPRA 1b: Training completed</t>
        </is>
      </c>
      <c r="B11" s="37" t="n">
        <v>1</v>
      </c>
    </row>
    <row r="12">
      <c r="A12" s="31" t="inlineStr">
        <is>
          <t xml:space="preserve">Y1: 0-5% of target </t>
        </is>
      </c>
      <c r="B12" s="37" t="n"/>
    </row>
    <row r="13">
      <c r="A13" s="31" t="inlineStr">
        <is>
          <t>Y2: 0-10% of target</t>
        </is>
      </c>
      <c r="B13" s="37" t="n"/>
    </row>
    <row r="14">
      <c r="A14" s="31" t="inlineStr">
        <is>
          <t>Y3: 11-25% of target</t>
        </is>
      </c>
      <c r="B14" s="37" t="n"/>
    </row>
    <row r="15">
      <c r="A15" s="31" t="inlineStr">
        <is>
          <t>Y4: 25-75% of target</t>
        </is>
      </c>
      <c r="B15" s="37" t="n"/>
    </row>
    <row r="16">
      <c r="A16" s="31" t="inlineStr">
        <is>
          <t>Y5: 76-100% of target</t>
        </is>
      </c>
      <c r="B16" s="37" t="n"/>
    </row>
    <row r="17">
      <c r="B17" s="37" t="n"/>
    </row>
    <row r="18">
      <c r="A18" s="11" t="inlineStr">
        <is>
          <t>GPRA 2: Placement</t>
        </is>
      </c>
      <c r="B18" s="37" t="n"/>
    </row>
    <row r="19">
      <c r="A19" s="4" t="inlineStr">
        <is>
          <t>GPRA 2a: Placement</t>
        </is>
      </c>
      <c r="B19" s="37" t="n">
        <v>1</v>
      </c>
    </row>
    <row r="20">
      <c r="A20" t="inlineStr">
        <is>
          <t xml:space="preserve">Y1: 0-5% of target </t>
        </is>
      </c>
      <c r="B20" s="37" t="n"/>
    </row>
    <row r="21">
      <c r="A21" t="inlineStr">
        <is>
          <t>Y2: 5-10% of target</t>
        </is>
      </c>
      <c r="B21" s="37" t="n"/>
    </row>
    <row r="22">
      <c r="A22" t="inlineStr">
        <is>
          <t>Y3: 11-25% of target</t>
        </is>
      </c>
      <c r="B22" s="37" t="n"/>
    </row>
    <row r="23">
      <c r="A23" t="inlineStr">
        <is>
          <t>Y4: 25-75% of target</t>
        </is>
      </c>
      <c r="B23" s="37" t="n"/>
    </row>
    <row r="24">
      <c r="A24" t="inlineStr">
        <is>
          <t>Y5: 76-100% of target</t>
        </is>
      </c>
      <c r="B24" s="37" t="n"/>
    </row>
    <row r="25">
      <c r="A25" s="4" t="inlineStr">
        <is>
          <t>GPRA 2b: Placed</t>
        </is>
      </c>
      <c r="B25" s="37" t="n">
        <v>1</v>
      </c>
    </row>
    <row r="26">
      <c r="A26" t="inlineStr">
        <is>
          <t xml:space="preserve">Y1: 0-5% of target </t>
        </is>
      </c>
      <c r="B26" s="37" t="n"/>
    </row>
    <row r="27">
      <c r="A27" t="inlineStr">
        <is>
          <t>Y2: 5-10% of target</t>
        </is>
      </c>
      <c r="B27" s="37" t="n"/>
    </row>
    <row r="28">
      <c r="A28" t="inlineStr">
        <is>
          <t>Y3: 11-25% of target</t>
        </is>
      </c>
      <c r="B28" s="37" t="n"/>
    </row>
    <row r="29">
      <c r="A29" t="inlineStr">
        <is>
          <t>Y4: 25-75% of target</t>
        </is>
      </c>
      <c r="B29" s="37" t="n"/>
    </row>
    <row r="30">
      <c r="A30" t="inlineStr">
        <is>
          <t>Y5: 76-100% of target</t>
        </is>
      </c>
      <c r="B30" s="37" t="n"/>
    </row>
    <row r="31">
      <c r="B31" s="37" t="n"/>
    </row>
    <row r="32">
      <c r="A32" s="6" t="inlineStr">
        <is>
          <t>GPRA 3: HIRED</t>
        </is>
      </c>
      <c r="B32" s="37" t="n">
        <v>1</v>
      </c>
    </row>
    <row r="33">
      <c r="A33" s="6" t="inlineStr">
        <is>
          <t xml:space="preserve">Y1: 0-5% of target </t>
        </is>
      </c>
      <c r="B33" s="37" t="n"/>
    </row>
    <row r="34">
      <c r="A34" s="7" t="inlineStr">
        <is>
          <t>Y2: 0-5% of target</t>
        </is>
      </c>
      <c r="B34" s="37" t="n"/>
    </row>
    <row r="35">
      <c r="A35" s="7" t="inlineStr">
        <is>
          <t>Y3: 5-10% of target</t>
        </is>
      </c>
      <c r="B35" s="37" t="n"/>
    </row>
    <row r="36">
      <c r="A36" s="7" t="inlineStr">
        <is>
          <t>Y4: 11-75% of target</t>
        </is>
      </c>
      <c r="B36" s="37" t="n"/>
    </row>
    <row r="37">
      <c r="A37" s="6" t="inlineStr">
        <is>
          <t>Y5: 76-100% of target</t>
        </is>
      </c>
      <c r="B37" s="37" t="n"/>
    </row>
    <row r="38">
      <c r="B38" s="24">
        <f>SUM(B5*0.4, B11*0.2, B19*0.1, B25*0.1, B32*0.2)</f>
        <v/>
      </c>
      <c r="C38" s="24">
        <f>SUM(C5*0.4, C11*0.2, C19*0.1, C25*0.1, C32*0.2)</f>
        <v/>
      </c>
      <c r="D38" s="24">
        <f>SUM(D5*0.4, D11*0.2, D19*0.1, D25*0.1, D32*0.2)</f>
        <v/>
      </c>
      <c r="E38" s="24">
        <f>SUM(E5*0.2, E11*0.3, E19*0.2, E25*0.1, E32*0.2)</f>
        <v/>
      </c>
      <c r="F38" s="24">
        <f>SUM(F5*0.2, F11*0.2, F19*0.2, F25*0.2, F32*0.2)</f>
        <v/>
      </c>
      <c r="G38" s="24">
        <f>SUM(G5*0.1, G11*0.1, G19*0.2, G25*0.2, G32*0.4)</f>
        <v/>
      </c>
    </row>
  </sheetData>
  <mergeCells count="1">
    <mergeCell ref="C2:G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7"/>
  <sheetViews>
    <sheetView workbookViewId="0">
      <selection activeCell="G7" sqref="G7"/>
    </sheetView>
  </sheetViews>
  <sheetFormatPr baseColWidth="8" defaultRowHeight="14.45"/>
  <cols>
    <col width="31" customWidth="1" style="12" min="1" max="1"/>
  </cols>
  <sheetData>
    <row r="2">
      <c r="B2" s="23" t="inlineStr">
        <is>
          <t>EXAMPLE</t>
        </is>
      </c>
      <c r="C2" t="inlineStr">
        <is>
          <t>Y1</t>
        </is>
      </c>
      <c r="D2" t="inlineStr">
        <is>
          <t>Y2</t>
        </is>
      </c>
      <c r="E2" t="inlineStr">
        <is>
          <t>Y3</t>
        </is>
      </c>
      <c r="F2" t="inlineStr">
        <is>
          <t>Y4</t>
        </is>
      </c>
      <c r="G2" t="inlineStr">
        <is>
          <t>Y5</t>
        </is>
      </c>
    </row>
    <row r="3">
      <c r="A3" t="inlineStr">
        <is>
          <t>Administrative Factors</t>
        </is>
      </c>
      <c r="B3" s="32">
        <f>'Administrative Factors'!D39</f>
        <v/>
      </c>
      <c r="C3" s="20">
        <f>'Administrative Factors'!F39</f>
        <v/>
      </c>
      <c r="D3" s="20">
        <f>'Administrative Factors'!H39</f>
        <v/>
      </c>
      <c r="E3" s="20">
        <f>'Administrative Factors'!J39</f>
        <v/>
      </c>
      <c r="F3" s="20">
        <f>'Administrative Factors'!L39</f>
        <v/>
      </c>
      <c r="G3" s="20">
        <f>'Administrative Factors'!N39</f>
        <v/>
      </c>
    </row>
    <row r="4">
      <c r="B4" s="23" t="n"/>
    </row>
    <row r="5">
      <c r="A5" t="inlineStr">
        <is>
          <t>GPRA Measures</t>
        </is>
      </c>
      <c r="B5" s="32">
        <f>'SBMH- GPRA'!B38</f>
        <v/>
      </c>
      <c r="C5" s="20">
        <f>'SBMH- GPRA'!D38</f>
        <v/>
      </c>
      <c r="E5" s="20">
        <f>'SBMH- GPRA'!E38</f>
        <v/>
      </c>
      <c r="F5" s="20">
        <f>'SBMH- GPRA'!F38</f>
        <v/>
      </c>
      <c r="G5" s="20">
        <f>'SBMH- GPRA'!G38</f>
        <v/>
      </c>
    </row>
    <row r="6">
      <c r="B6" s="23" t="n"/>
    </row>
    <row r="7">
      <c r="A7" s="21" t="inlineStr">
        <is>
          <t>TOTAL</t>
        </is>
      </c>
      <c r="B7" s="33">
        <f>SUM(B3*0.6,B5*0.4)</f>
        <v/>
      </c>
      <c r="C7" s="22">
        <f>SUM(C3*0.6,C5*0.4)</f>
        <v/>
      </c>
      <c r="D7" s="22">
        <f>SUM(D3*0.6,D5*0.4)</f>
        <v/>
      </c>
      <c r="E7" s="22">
        <f>SUM(E3*0.5,E5*0.5)</f>
        <v/>
      </c>
      <c r="F7" s="22">
        <f>SUM(F3*0.5,F5*0.5)</f>
        <v/>
      </c>
      <c r="G7" s="22">
        <f>SUM(G3*0.4,G5*0.6)</f>
        <v/>
      </c>
    </row>
  </sheetData>
  <pageMargins left="0.7" right="0.7" top="0.75" bottom="0.75" header="0.3" footer="0.3"/>
  <pageSetup orientation="portrait" horizontalDpi="1200" verticalDpi="12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G7"/>
  <sheetViews>
    <sheetView workbookViewId="0">
      <selection activeCell="G7" sqref="G7"/>
    </sheetView>
  </sheetViews>
  <sheetFormatPr baseColWidth="8" defaultRowHeight="14.45"/>
  <cols>
    <col width="19.5703125" bestFit="1" customWidth="1" style="12" min="1" max="1"/>
  </cols>
  <sheetData>
    <row r="2">
      <c r="B2" s="23" t="inlineStr">
        <is>
          <t>EXAMPLE</t>
        </is>
      </c>
      <c r="C2" t="inlineStr">
        <is>
          <t>Y1</t>
        </is>
      </c>
      <c r="D2" t="inlineStr">
        <is>
          <t>Y2</t>
        </is>
      </c>
      <c r="E2" t="inlineStr">
        <is>
          <t>Y3</t>
        </is>
      </c>
      <c r="F2" t="inlineStr">
        <is>
          <t>Y4</t>
        </is>
      </c>
      <c r="G2" t="inlineStr">
        <is>
          <t>Y5</t>
        </is>
      </c>
    </row>
    <row r="3">
      <c r="A3" t="inlineStr">
        <is>
          <t>Administrative Factors</t>
        </is>
      </c>
      <c r="B3" s="32">
        <f>'Administrative Factors'!D39</f>
        <v/>
      </c>
      <c r="C3" s="20">
        <f>'Administrative Factors'!F39</f>
        <v/>
      </c>
      <c r="D3" s="20">
        <f>'Administrative Factors'!H39</f>
        <v/>
      </c>
      <c r="E3" s="20">
        <f>'Administrative Factors'!J39</f>
        <v/>
      </c>
      <c r="F3" s="20">
        <f>'Administrative Factors'!L39</f>
        <v/>
      </c>
      <c r="G3" s="20">
        <f>'Administrative Factors'!N39</f>
        <v/>
      </c>
    </row>
    <row r="4">
      <c r="B4" s="23" t="n"/>
    </row>
    <row r="5">
      <c r="A5" t="inlineStr">
        <is>
          <t>GPRA Measures</t>
        </is>
      </c>
      <c r="B5" s="32">
        <f>'MHSP - GPRA'!B38</f>
        <v/>
      </c>
      <c r="C5" s="20">
        <f>'SBMH- GPRA'!D38</f>
        <v/>
      </c>
      <c r="E5" s="20">
        <f>'SBMH- GPRA'!E38</f>
        <v/>
      </c>
      <c r="F5" s="20">
        <f>'SBMH- GPRA'!F38</f>
        <v/>
      </c>
      <c r="G5" s="20">
        <f>'SBMH- GPRA'!G38</f>
        <v/>
      </c>
    </row>
    <row r="6">
      <c r="B6" s="23" t="n"/>
    </row>
    <row r="7">
      <c r="A7" s="21" t="inlineStr">
        <is>
          <t>TOTAL</t>
        </is>
      </c>
      <c r="B7" s="33">
        <f>SUM(B3*0.6,B5*0.4)</f>
        <v/>
      </c>
      <c r="C7" s="22">
        <f>SUM(C3*0.6,C5*0.4)</f>
        <v/>
      </c>
      <c r="D7" s="22">
        <f>SUM(D3*0.6,D5*0.4)</f>
        <v/>
      </c>
      <c r="E7" s="22">
        <f>SUM(E3*0.5,E5*0.5)</f>
        <v/>
      </c>
      <c r="F7" s="22">
        <f>SUM(F3*0.5,F5*0.5)</f>
        <v/>
      </c>
      <c r="G7" s="22">
        <f>SUM(G3*0.4,G5*0.6)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Carr, Dana</dc:creator>
  <dcterms:created xmlns:dcterms="http://purl.org/dc/terms/" xmlns:xsi="http://www.w3.org/2001/XMLSchema-instance" xsi:type="dcterms:W3CDTF">2025-04-15T13:27:16Z</dcterms:created>
  <dcterms:modified xmlns:dcterms="http://purl.org/dc/terms/" xmlns:xsi="http://www.w3.org/2001/XMLSchema-instance" xsi:type="dcterms:W3CDTF">2026-03-27T05:06:10Z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0x010100BD4EFC88C5D69F408EA78CB49BAFCE78</vt:lpwstr>
  </property>
</Properties>
</file>