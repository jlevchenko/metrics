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2" activeTab="2" autoFilterDateGrouping="1"/>
  </bookViews>
  <sheets>
    <sheet xmlns:r="http://schemas.openxmlformats.org/officeDocument/2006/relationships" name="S184X240029" sheetId="1" state="visible" r:id="rId1"/>
    <sheet xmlns:r="http://schemas.openxmlformats.org/officeDocument/2006/relationships" name="S184X240157" sheetId="2" state="visible" r:id="rId2"/>
    <sheet xmlns:r="http://schemas.openxmlformats.org/officeDocument/2006/relationships" name="S184X240167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charset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99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3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2" applyAlignment="1" pivotButton="0" quotePrefix="0" xfId="0">
      <alignment horizontal="center"/>
    </xf>
    <xf numFmtId="9" fontId="2" fillId="0" borderId="3" applyAlignment="1" pivotButton="0" quotePrefix="0" xfId="1">
      <alignment horizontal="center"/>
    </xf>
    <xf numFmtId="0" fontId="2" fillId="0" borderId="3" applyAlignment="1" pivotButton="0" quotePrefix="0" xfId="0">
      <alignment horizontal="center"/>
    </xf>
    <xf numFmtId="9" fontId="0" fillId="0" borderId="0" pivotButton="0" quotePrefix="0" xfId="1"/>
    <xf numFmtId="0" fontId="2" fillId="0" borderId="0" applyAlignment="1" pivotButton="0" quotePrefix="0" xfId="0">
      <alignment horizontal="center"/>
    </xf>
    <xf numFmtId="9" fontId="2" fillId="0" borderId="0" applyAlignment="1" pivotButton="0" quotePrefix="0" xfId="1">
      <alignment horizontal="center"/>
    </xf>
    <xf numFmtId="0" fontId="3" fillId="0" borderId="0" pivotButton="0" quotePrefix="0" xfId="0"/>
    <xf numFmtId="0" fontId="0" fillId="3" borderId="1" pivotButton="0" quotePrefix="0" xfId="0"/>
    <xf numFmtId="9" fontId="0" fillId="2" borderId="1" pivotButton="0" quotePrefix="0" xfId="1"/>
    <xf numFmtId="0" fontId="0" fillId="3" borderId="0" pivotButton="0" quotePrefix="0" xfId="0"/>
    <xf numFmtId="0" fontId="3" fillId="0" borderId="0" applyAlignment="1" pivotButton="0" quotePrefix="0" xfId="0">
      <alignment wrapText="1"/>
    </xf>
    <xf numFmtId="0" fontId="2" fillId="2" borderId="1" pivotButton="0" quotePrefix="0" xfId="0"/>
    <xf numFmtId="9" fontId="2" fillId="2" borderId="1" pivotButton="0" quotePrefix="0" xfId="1"/>
    <xf numFmtId="9" fontId="2" fillId="0" borderId="0" applyAlignment="1" pivotButton="0" quotePrefix="0" xfId="1">
      <alignment horizontal="center" vertical="center"/>
    </xf>
    <xf numFmtId="0" fontId="2" fillId="4" borderId="1" pivotButton="0" quotePrefix="0" xfId="0"/>
    <xf numFmtId="0" fontId="0" fillId="0" borderId="1" pivotButton="0" quotePrefix="0" xfId="0"/>
    <xf numFmtId="2" fontId="0" fillId="0" borderId="1" pivotButton="0" quotePrefix="0" xfId="1"/>
    <xf numFmtId="2" fontId="0" fillId="0" borderId="1" pivotButton="0" quotePrefix="0" xfId="0"/>
    <xf numFmtId="0" fontId="2" fillId="0" borderId="1" pivotButton="0" quotePrefix="0" xfId="0"/>
    <xf numFmtId="0" fontId="0" fillId="2" borderId="1" pivotButton="0" quotePrefix="0" xfId="1"/>
    <xf numFmtId="1" fontId="0" fillId="0" borderId="1" pivotButton="0" quotePrefix="0" xfId="1"/>
    <xf numFmtId="1" fontId="0" fillId="0" borderId="1" pivotButton="0" quotePrefix="0" xfId="0"/>
    <xf numFmtId="0" fontId="0" fillId="5" borderId="1" pivotButton="0" quotePrefix="0" xfId="0"/>
    <xf numFmtId="1" fontId="0" fillId="3" borderId="1" pivotButton="0" quotePrefix="0" xfId="1"/>
    <xf numFmtId="0" fontId="2" fillId="6" borderId="1" pivotButton="0" quotePrefix="0" xfId="0"/>
    <xf numFmtId="9" fontId="2" fillId="6" borderId="1" pivotButton="0" quotePrefix="0" xfId="1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N8" sqref="N8"/>
    </sheetView>
  </sheetViews>
  <sheetFormatPr baseColWidth="8" defaultRowHeight="15"/>
  <cols>
    <col width="66.85546875" customWidth="1" min="1" max="1"/>
    <col width="37.7109375" customWidth="1" min="14" max="14"/>
  </cols>
  <sheetData>
    <row r="1">
      <c r="A1" s="1" t="inlineStr">
        <is>
          <t>Measure</t>
        </is>
      </c>
      <c r="B1" s="2" t="inlineStr">
        <is>
          <t>EXAMPLE</t>
        </is>
      </c>
      <c r="C1" s="2" t="n"/>
      <c r="D1" s="3" t="inlineStr">
        <is>
          <t>Y1</t>
        </is>
      </c>
      <c r="E1" s="4" t="n"/>
      <c r="F1" s="5" t="inlineStr">
        <is>
          <t>Y2</t>
        </is>
      </c>
      <c r="G1" s="4" t="n"/>
      <c r="H1" s="5" t="inlineStr">
        <is>
          <t>Y3</t>
        </is>
      </c>
      <c r="I1" s="4" t="n"/>
      <c r="J1" s="5" t="inlineStr">
        <is>
          <t>Y4</t>
        </is>
      </c>
      <c r="K1" s="4" t="n"/>
      <c r="L1" s="5" t="inlineStr">
        <is>
          <t>Y5</t>
        </is>
      </c>
      <c r="M1" s="6" t="n"/>
      <c r="N1" s="5" t="inlineStr">
        <is>
          <t>Notes</t>
        </is>
      </c>
    </row>
    <row r="2">
      <c r="A2" s="1" t="inlineStr">
        <is>
          <t>[Note redacted for anonymization]</t>
        </is>
      </c>
      <c r="B2" s="2" t="n"/>
      <c r="C2" s="2" t="n"/>
      <c r="D2" s="7" t="n"/>
      <c r="E2" s="8" t="n"/>
      <c r="F2" s="7" t="n"/>
      <c r="G2" s="8" t="n"/>
      <c r="H2" s="7" t="n"/>
      <c r="I2" s="8" t="n"/>
      <c r="J2" s="7" t="n"/>
      <c r="K2" s="8" t="n"/>
      <c r="L2" s="7" t="n"/>
      <c r="M2" s="6" t="n"/>
      <c r="N2" s="7" t="n"/>
    </row>
    <row r="3">
      <c r="A3" s="9" t="inlineStr">
        <is>
          <t>Financial, LAB &gt;70%</t>
        </is>
      </c>
      <c r="B3" s="10" t="inlineStr">
        <is>
          <t>A</t>
        </is>
      </c>
      <c r="C3" s="11">
        <f>IF(B3="A",1,IF(B3="B",0.75,IF(B3="C",0.5,IF(B3="F",0))))</f>
        <v/>
      </c>
      <c r="D3" s="12" t="inlineStr">
        <is>
          <t>A</t>
        </is>
      </c>
      <c r="E3" s="6">
        <f>IF(D3="A",1,IF(D3="B",0.75,IF(D3="C",0.5,IF(D3="F",0))))</f>
        <v/>
      </c>
      <c r="F3" s="12" t="n"/>
      <c r="G3" s="6">
        <f>IF(F3="A",1,IF(F3="B",0.75,IF(F3="C",0.5,IF(F3="F",0))))</f>
        <v/>
      </c>
      <c r="H3" s="12" t="n"/>
      <c r="I3" s="6">
        <f>IF(H3="A",1,IF(H3="B",0.75,IF(H3="C",0.5,IF(H3="F",0))))</f>
        <v/>
      </c>
      <c r="J3" s="12" t="n"/>
      <c r="K3" s="6">
        <f>IF(J3="A",1,IF(J3="B",0.75,IF(J3="C",0.5,IF(J3="F",0))))</f>
        <v/>
      </c>
      <c r="L3" s="12" t="n"/>
      <c r="M3" s="6">
        <f>IF(L3="A",1,IF(L3="B",0.75,IF(L3="C",0.5,IF(L3="F",0))))</f>
        <v/>
      </c>
    </row>
    <row r="4">
      <c r="B4" s="2" t="n"/>
      <c r="C4" s="11" t="n"/>
      <c r="E4" s="6" t="n"/>
      <c r="G4" s="6" t="n"/>
      <c r="I4" s="6" t="n"/>
      <c r="K4" s="6" t="n"/>
      <c r="M4" s="6" t="n"/>
    </row>
    <row r="5">
      <c r="A5" s="9" t="inlineStr">
        <is>
          <t>Financial, Excessive Drawdowns</t>
        </is>
      </c>
      <c r="B5" s="10" t="inlineStr">
        <is>
          <t>F</t>
        </is>
      </c>
      <c r="C5" s="11">
        <f>IF(B5="A",1,IF(B5="B",0.75,IF(B5="C",0.5,IF(B5="F",0))))</f>
        <v/>
      </c>
      <c r="D5" s="12" t="inlineStr">
        <is>
          <t>A</t>
        </is>
      </c>
      <c r="E5" s="6">
        <f>IF(D5="A",1,IF(D5="B",0.75,IF(D5="C",0.5,IF(D5="F",0))))</f>
        <v/>
      </c>
      <c r="F5" s="12" t="n"/>
      <c r="G5" s="6">
        <f>IF(F5="A",1,IF(F5="B",0.75,IF(F5="C",0.5,IF(F5="F",0))))</f>
        <v/>
      </c>
      <c r="H5" s="12" t="n"/>
      <c r="I5" s="6">
        <f>IF(H5="A",1,IF(H5="B",0.75,IF(H5="C",0.5,IF(H5="F",0))))</f>
        <v/>
      </c>
      <c r="J5" s="12" t="n"/>
      <c r="K5" s="6">
        <f>IF(J5="A",1,IF(J5="B",0.75,IF(J5="C",0.5,IF(J5="F",0))))</f>
        <v/>
      </c>
      <c r="L5" s="12" t="n"/>
      <c r="M5" s="6">
        <f>IF(L5="A",1,IF(L5="B",0.75,IF(L5="C",0.5,IF(L5="F",0))))</f>
        <v/>
      </c>
    </row>
    <row r="6">
      <c r="B6" s="2" t="n"/>
      <c r="C6" s="11" t="n"/>
      <c r="E6" s="6" t="n"/>
      <c r="G6" s="6" t="n"/>
      <c r="I6" s="6" t="n"/>
      <c r="K6" s="6" t="n"/>
      <c r="M6" s="6" t="n"/>
    </row>
    <row r="7">
      <c r="A7" s="9" t="inlineStr">
        <is>
          <t>Performance, PD changes or staffing turnover</t>
        </is>
      </c>
      <c r="B7" s="10" t="inlineStr">
        <is>
          <t>A</t>
        </is>
      </c>
      <c r="C7" s="11">
        <f>IF(B7="A",1,IF(B7="B",0.75,IF(B7="C",0.5,IF(B7="F",0))))</f>
        <v/>
      </c>
      <c r="D7" s="12" t="inlineStr">
        <is>
          <t>A</t>
        </is>
      </c>
      <c r="E7" s="6">
        <f>IF(D7="A",1,IF(D7="B",0.75,IF(D7="C",0.5,IF(D7="F",0))))</f>
        <v/>
      </c>
      <c r="F7" s="12" t="n"/>
      <c r="G7" s="6">
        <f>IF(F7="A",1,IF(F7="B",0.75,IF(F7="C",0.5,IF(F7="F",0))))</f>
        <v/>
      </c>
      <c r="H7" s="12" t="n"/>
      <c r="I7" s="6">
        <f>IF(H7="A",1,IF(H7="B",0.75,IF(H7="C",0.5,IF(H7="F",0))))</f>
        <v/>
      </c>
      <c r="J7" s="12" t="n"/>
      <c r="K7" s="6">
        <f>IF(J7="A",1,IF(J7="B",0.75,IF(J7="C",0.5,IF(J7="F",0))))</f>
        <v/>
      </c>
      <c r="L7" s="12" t="n"/>
      <c r="M7" s="6">
        <f>IF(L7="A",1,IF(L7="B",0.75,IF(L7="C",0.5,IF(L7="F",0))))</f>
        <v/>
      </c>
    </row>
    <row r="8">
      <c r="B8" s="2" t="n"/>
      <c r="C8" s="11" t="n"/>
      <c r="E8" s="6" t="n"/>
      <c r="G8" s="6" t="n"/>
      <c r="I8" s="6" t="n"/>
      <c r="K8" s="6" t="n"/>
      <c r="M8" s="6" t="n"/>
    </row>
    <row r="9">
      <c r="A9" s="9" t="inlineStr">
        <is>
          <t>Performance, other</t>
        </is>
      </c>
      <c r="B9" s="10" t="inlineStr">
        <is>
          <t>B</t>
        </is>
      </c>
      <c r="C9" s="11">
        <f>IF(B9="A",1,IF(B9="B",0.75,IF(B9="C",0.5,IF(B9="F",0))))</f>
        <v/>
      </c>
      <c r="D9" s="12" t="inlineStr">
        <is>
          <t>A</t>
        </is>
      </c>
      <c r="E9" s="6">
        <f>IF(D9="A",1,IF(D9="B",0.75,IF(D9="C",0.5,IF(D9="F",0))))</f>
        <v/>
      </c>
      <c r="F9" s="12" t="n"/>
      <c r="G9" s="6">
        <f>IF(F9="A",1,IF(F9="B",0.75,IF(F9="C",0.5,IF(F9="F",0))))</f>
        <v/>
      </c>
      <c r="H9" s="12" t="n"/>
      <c r="I9" s="6">
        <f>IF(H9="A",1,IF(H9="B",0.75,IF(H9="C",0.5,IF(H9="F",0))))</f>
        <v/>
      </c>
      <c r="J9" s="12" t="n"/>
      <c r="K9" s="6">
        <f>IF(J9="A",1,IF(J9="B",0.75,IF(J9="C",0.5,IF(J9="F",0))))</f>
        <v/>
      </c>
      <c r="L9" s="12" t="n"/>
      <c r="M9" s="6">
        <f>IF(L9="A",1,IF(L9="B",0.75,IF(L9="C",0.5,IF(L9="F",0))))</f>
        <v/>
      </c>
      <c r="N9" s="29" t="n"/>
    </row>
    <row r="10">
      <c r="B10" s="2" t="n"/>
      <c r="C10" s="11" t="n"/>
      <c r="E10" s="6" t="n"/>
      <c r="G10" s="6" t="n"/>
      <c r="I10" s="6" t="n"/>
      <c r="K10" s="6" t="n"/>
      <c r="M10" s="6" t="n"/>
    </row>
    <row r="11" ht="60.75" customHeight="1">
      <c r="A11" s="13" t="inlineStr">
        <is>
          <t>Internal controls (could include financial adjustments, lack of drawdowns)</t>
        </is>
      </c>
      <c r="B11" s="10" t="inlineStr">
        <is>
          <t>C</t>
        </is>
      </c>
      <c r="C11" s="11">
        <f>IF(B11="A",1,IF(B11="B",0.75,IF(B11="C",0.5,IF(B11="F",0))))</f>
        <v/>
      </c>
      <c r="D11" s="12" t="inlineStr">
        <is>
          <t>A</t>
        </is>
      </c>
      <c r="E11" s="6">
        <f>IF(D11="A",1,IF(D11="B",0.75,IF(D11="C",0.5,IF(D11="F",0))))</f>
        <v/>
      </c>
      <c r="F11" s="12" t="n"/>
      <c r="G11" s="6">
        <f>IF(F11="A",1,IF(F11="B",0.75,IF(F11="C",0.5,IF(F11="F",0))))</f>
        <v/>
      </c>
      <c r="H11" s="12" t="n"/>
      <c r="I11" s="6">
        <f>IF(H11="A",1,IF(H11="B",0.75,IF(H11="C",0.5,IF(H11="F",0))))</f>
        <v/>
      </c>
      <c r="J11" s="12" t="n"/>
      <c r="K11" s="6">
        <f>IF(J11="A",1,IF(J11="B",0.75,IF(J11="C",0.5,IF(J11="F",0))))</f>
        <v/>
      </c>
      <c r="L11" s="12" t="n"/>
      <c r="M11" s="6">
        <f>IF(L11="A",1,IF(L11="B",0.75,IF(L11="C",0.5,IF(L11="F",0))))</f>
        <v/>
      </c>
    </row>
    <row r="12">
      <c r="B12" s="2" t="n"/>
      <c r="C12" s="11" t="n"/>
      <c r="E12" s="6" t="n"/>
      <c r="G12" s="6" t="n"/>
      <c r="I12" s="6" t="n"/>
      <c r="K12" s="6" t="n"/>
      <c r="M12" s="6" t="n"/>
    </row>
    <row r="13">
      <c r="A13" t="inlineStr">
        <is>
          <t>Conditions</t>
        </is>
      </c>
      <c r="B13" s="10" t="inlineStr">
        <is>
          <t>A</t>
        </is>
      </c>
      <c r="C13" s="11">
        <f>IF(B13="A",1,IF(B13="B",0.75,IF(B13="C",0.5,IF(B13="F",0))))</f>
        <v/>
      </c>
      <c r="D13" s="12" t="inlineStr">
        <is>
          <t>A</t>
        </is>
      </c>
      <c r="E13" s="6">
        <f>IF(D13="A",1,IF(D13="B",0.75,IF(D13="C",0.5,IF(D13="F",0))))</f>
        <v/>
      </c>
      <c r="F13" s="12" t="n"/>
      <c r="G13" s="6">
        <f>IF(F13="A",1,IF(F13="B",0.75,IF(F13="C",0.5,IF(F13="F",0))))</f>
        <v/>
      </c>
      <c r="H13" s="12" t="n"/>
      <c r="I13" s="6">
        <f>IF(H13="A",1,IF(H13="B",0.75,IF(H13="C",0.5,IF(H13="F",0))))</f>
        <v/>
      </c>
      <c r="J13" s="12" t="n"/>
      <c r="K13" s="6">
        <f>IF(J13="A",1,IF(J13="B",0.75,IF(J13="C",0.5,IF(J13="F",0))))</f>
        <v/>
      </c>
      <c r="L13" s="12" t="n"/>
      <c r="M13" s="6">
        <f>IF(L13="A",1,IF(L13="B",0.75,IF(L13="C",0.5,IF(L13="F",0))))</f>
        <v/>
      </c>
    </row>
    <row r="14">
      <c r="E14" s="6" t="n"/>
      <c r="G14" s="6" t="n"/>
      <c r="I14" s="6" t="n"/>
      <c r="K14" s="6" t="n"/>
      <c r="M14" s="6" t="n"/>
    </row>
    <row r="15">
      <c r="A15" s="14" t="inlineStr">
        <is>
          <t>TOTAL SCORE ADMINISTRATIVE</t>
        </is>
      </c>
      <c r="B15" s="14" t="n"/>
      <c r="C15" s="15">
        <f>SUM(C3*0.1, C5*0.1, C7*0.1, C9*0.5,C11*0.1,C13*0.1)</f>
        <v/>
      </c>
      <c r="D15" s="15" t="n"/>
      <c r="E15" s="15">
        <f>SUM(E3*0.1, E5*0.1, E7*0.1, E9*0.55,E11*0.1,E13*0.05)</f>
        <v/>
      </c>
      <c r="F15" s="15" t="n"/>
      <c r="G15" s="15">
        <f>SUM(G3*0.1, G5*0.1, G7*0.1, G9*0.55,G11*0.1,G13*0.05)</f>
        <v/>
      </c>
      <c r="H15" s="15" t="n"/>
      <c r="I15" s="15">
        <f>SUM(I3*0.1, I5*0.1, I7*0.1, I9*0.55,I11*0.1,I13*0.05)</f>
        <v/>
      </c>
      <c r="J15" s="15" t="n"/>
      <c r="K15" s="15">
        <f>SUM(K3*0.1, K5*0.1, K7*0.1, K9*0.55,K11*0.1,K13*0.05)</f>
        <v/>
      </c>
      <c r="L15" s="15" t="n"/>
      <c r="M15" s="15">
        <f>SUM(M3*0.2, M5*0.1, M7*0.1, M9*0.55,M11*0.05)</f>
        <v/>
      </c>
    </row>
    <row r="16">
      <c r="A16" s="1" t="n"/>
      <c r="B16" s="1" t="n"/>
      <c r="C16" s="1" t="n"/>
      <c r="D16" s="1" t="n"/>
      <c r="E16" s="16" t="n"/>
      <c r="F16" s="1" t="n"/>
      <c r="G16" s="16" t="n"/>
      <c r="H16" s="1" t="n"/>
      <c r="I16" s="16" t="n"/>
      <c r="J16" s="1" t="n"/>
      <c r="K16" s="16" t="n"/>
      <c r="L16" s="1" t="n"/>
      <c r="M16" s="16" t="n"/>
    </row>
    <row r="17">
      <c r="A17" s="1" t="inlineStr">
        <is>
          <t>GPRA MEASURES</t>
        </is>
      </c>
      <c r="E17" s="6" t="n"/>
      <c r="G17" s="6" t="n"/>
      <c r="I17" s="6" t="n"/>
      <c r="K17" s="6" t="n"/>
      <c r="M17" s="6" t="n"/>
    </row>
    <row r="18">
      <c r="A18" s="17" t="inlineStr">
        <is>
          <t>GPRA 1: Hired</t>
        </is>
      </c>
      <c r="B18" s="2" t="n"/>
      <c r="C18" s="18" t="n"/>
      <c r="D18" s="18" t="n"/>
      <c r="E18" s="19" t="n"/>
      <c r="F18" s="20" t="n"/>
      <c r="G18" s="19" t="n"/>
      <c r="H18" s="20" t="n"/>
      <c r="I18" s="19" t="n"/>
      <c r="J18" s="20" t="n"/>
      <c r="K18" s="19" t="n"/>
      <c r="L18" s="20" t="n"/>
      <c r="M18" s="19" t="n"/>
    </row>
    <row r="19">
      <c r="A19" s="21" t="inlineStr">
        <is>
          <t>GPRA 2: Retained</t>
        </is>
      </c>
      <c r="B19" s="22" t="n"/>
      <c r="C19" s="18" t="n"/>
      <c r="D19" s="18" t="n"/>
      <c r="E19" s="23" t="n"/>
      <c r="F19" s="24" t="n"/>
      <c r="G19" s="23" t="n"/>
      <c r="H19" s="24" t="n"/>
      <c r="I19" s="23" t="n"/>
      <c r="J19" s="24" t="n"/>
      <c r="K19" s="23" t="n"/>
      <c r="L19" s="24" t="n"/>
      <c r="M19" s="23" t="n"/>
    </row>
    <row r="20">
      <c r="A20" t="inlineStr">
        <is>
          <t>GPRA 3: Ratio</t>
        </is>
      </c>
      <c r="B20" s="22" t="n"/>
      <c r="C20" s="18" t="n"/>
      <c r="D20" s="18" t="n"/>
      <c r="E20" s="23" t="n"/>
      <c r="F20" s="24" t="n"/>
      <c r="G20" s="23" t="n"/>
      <c r="H20" s="24" t="n"/>
      <c r="I20" s="23" t="n"/>
      <c r="J20" s="24" t="n"/>
      <c r="K20" s="23" t="n"/>
      <c r="L20" s="24" t="n"/>
      <c r="M20" s="23" t="n"/>
    </row>
    <row r="21">
      <c r="A21" s="18" t="inlineStr">
        <is>
          <t>GPRA 4: Attrition</t>
        </is>
      </c>
      <c r="B21" s="22" t="n"/>
      <c r="C21" s="18" t="n"/>
      <c r="D21" s="18" t="n"/>
      <c r="E21" s="23" t="n"/>
      <c r="F21" s="24" t="n"/>
      <c r="G21" s="23" t="n"/>
      <c r="H21" s="24" t="n"/>
      <c r="I21" s="23" t="n"/>
      <c r="J21" s="24" t="n"/>
      <c r="K21" s="23" t="n"/>
      <c r="L21" s="24" t="n"/>
      <c r="M21" s="23" t="n"/>
    </row>
    <row r="22">
      <c r="A22" s="25" t="inlineStr">
        <is>
          <t>[Note redacted for anonymization]</t>
        </is>
      </c>
      <c r="B22" s="12" t="n"/>
      <c r="C22" s="18" t="n"/>
      <c r="D22" s="18" t="n"/>
      <c r="E22" s="26" t="n"/>
      <c r="F22" s="24" t="n"/>
      <c r="G22" s="26" t="n"/>
      <c r="H22" s="24" t="n"/>
      <c r="I22" s="26" t="n"/>
      <c r="J22" s="24" t="n"/>
      <c r="K22" s="26" t="n"/>
      <c r="L22" s="24" t="n"/>
      <c r="M22" s="26" t="n"/>
    </row>
    <row r="23">
      <c r="A23" s="15" t="inlineStr">
        <is>
          <t>TOTAL SCORE GPRA</t>
        </is>
      </c>
      <c r="B23" s="15">
        <f>SUM(B18*0.4, B19*0.2, B20*0.1, B21*0.2, B22*0.1)</f>
        <v/>
      </c>
      <c r="C23" s="15" t="n"/>
      <c r="D23" s="15" t="n"/>
      <c r="E23" s="15">
        <f>-SUM(E18*0.4, E19*0.2, E20*0.1, E21*0.2, E22*0.1)</f>
        <v/>
      </c>
      <c r="F23" s="15" t="n"/>
      <c r="G23" s="15">
        <f>-SUM(G18*0.4, G19*0.2, G20*0.1, G21*0.2, G22*0.1)</f>
        <v/>
      </c>
      <c r="H23" s="15" t="n"/>
      <c r="I23" s="15">
        <f>-SUM(I18*0.4, I19*0.2, I20*0.1, I21*0.2, I22*0.1)</f>
        <v/>
      </c>
      <c r="J23" s="15" t="n"/>
      <c r="K23" s="15">
        <f>-SUM(K18*0.4, K19*0.2, K20*0.1, K21*0.2, K22*0.1)</f>
        <v/>
      </c>
      <c r="L23" s="15" t="n"/>
      <c r="M23" s="15">
        <f>-SUM(M18*0.4, M19*0.2, M20*0.1, M21*0.2, M22*0.1)</f>
        <v/>
      </c>
    </row>
    <row r="24">
      <c r="E24" s="6" t="n"/>
      <c r="G24" s="6" t="n"/>
      <c r="I24" s="6" t="n"/>
      <c r="K24" s="6" t="n"/>
      <c r="M24" s="6" t="n"/>
    </row>
    <row r="25">
      <c r="E25" s="6" t="n"/>
      <c r="G25" s="6" t="n"/>
      <c r="I25" s="6" t="n"/>
      <c r="K25" s="6" t="n"/>
      <c r="M25" s="6" t="n"/>
    </row>
    <row r="26">
      <c r="A26" s="27" t="inlineStr">
        <is>
          <t>TOTAL SCORES</t>
        </is>
      </c>
      <c r="B26" s="27" t="n"/>
      <c r="C26" s="28">
        <f>SUM(C15*0.6, B23*0.4)</f>
        <v/>
      </c>
      <c r="D26" s="27" t="n"/>
      <c r="E26" s="28">
        <f>SUM(E15*0.6, E23*0.4)</f>
        <v/>
      </c>
      <c r="F26" s="28" t="n"/>
      <c r="G26" s="28">
        <f>SUM(G15*0.6, G23*0.4)</f>
        <v/>
      </c>
      <c r="H26" s="28" t="n"/>
      <c r="I26" s="28">
        <f>SUM(I15*0.5, I23*0.5)</f>
        <v/>
      </c>
      <c r="J26" s="28" t="n"/>
      <c r="K26" s="28">
        <f>SUM(K15*0.4, K23*0.6)</f>
        <v/>
      </c>
      <c r="L26" s="28" t="n"/>
      <c r="M26" s="28">
        <f>SUM(M15*0.3, M23*0.7)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N20" sqref="N20"/>
    </sheetView>
  </sheetViews>
  <sheetFormatPr baseColWidth="8" defaultRowHeight="15"/>
  <cols>
    <col width="69.140625" customWidth="1" min="1" max="1"/>
    <col width="34" customWidth="1" min="14" max="14"/>
  </cols>
  <sheetData>
    <row r="1">
      <c r="A1" s="1" t="inlineStr">
        <is>
          <t>Measure</t>
        </is>
      </c>
      <c r="B1" s="2" t="inlineStr">
        <is>
          <t>EXAMPLE</t>
        </is>
      </c>
      <c r="C1" s="2" t="n"/>
      <c r="D1" s="3" t="inlineStr">
        <is>
          <t>Y1</t>
        </is>
      </c>
      <c r="E1" s="4" t="n"/>
      <c r="F1" s="5" t="inlineStr">
        <is>
          <t>Y2</t>
        </is>
      </c>
      <c r="G1" s="4" t="n"/>
      <c r="H1" s="5" t="inlineStr">
        <is>
          <t>Y3</t>
        </is>
      </c>
      <c r="I1" s="4" t="n"/>
      <c r="J1" s="5" t="inlineStr">
        <is>
          <t>Y4</t>
        </is>
      </c>
      <c r="K1" s="4" t="n"/>
      <c r="L1" s="5" t="inlineStr">
        <is>
          <t>Y5</t>
        </is>
      </c>
      <c r="M1" s="6" t="n"/>
      <c r="N1" s="5" t="inlineStr">
        <is>
          <t>Notes</t>
        </is>
      </c>
    </row>
    <row r="2">
      <c r="A2" s="1" t="inlineStr">
        <is>
          <t>[Note redacted for anonymization]</t>
        </is>
      </c>
      <c r="B2" s="2" t="n"/>
      <c r="C2" s="2" t="n"/>
      <c r="D2" s="7" t="n"/>
      <c r="E2" s="8" t="n"/>
      <c r="F2" s="7" t="n"/>
      <c r="G2" s="8" t="n"/>
      <c r="H2" s="7" t="n"/>
      <c r="I2" s="8" t="n"/>
      <c r="J2" s="7" t="n"/>
      <c r="K2" s="8" t="n"/>
      <c r="L2" s="7" t="n"/>
      <c r="M2" s="6" t="n"/>
      <c r="N2" s="7" t="n"/>
    </row>
    <row r="3">
      <c r="A3" s="9" t="inlineStr">
        <is>
          <t>Financial, LAB &gt;70%</t>
        </is>
      </c>
      <c r="B3" s="10" t="inlineStr">
        <is>
          <t>A</t>
        </is>
      </c>
      <c r="C3" s="11">
        <f>IF(B3="A",1,IF(B3="B",0.75,IF(B3="C",0.5,IF(B3="F",0))))</f>
        <v/>
      </c>
      <c r="D3" s="12" t="inlineStr">
        <is>
          <t>A</t>
        </is>
      </c>
      <c r="E3" s="6">
        <f>IF(D3="A",1,IF(D3="B",0.75,IF(D3="C",0.5,IF(D3="F",0))))</f>
        <v/>
      </c>
      <c r="F3" s="12" t="n"/>
      <c r="G3" s="6">
        <f>IF(F3="A",1,IF(F3="B",0.75,IF(F3="C",0.5,IF(F3="F",0))))</f>
        <v/>
      </c>
      <c r="H3" s="12" t="n"/>
      <c r="I3" s="6">
        <f>IF(H3="A",1,IF(H3="B",0.75,IF(H3="C",0.5,IF(H3="F",0))))</f>
        <v/>
      </c>
      <c r="J3" s="12" t="n"/>
      <c r="K3" s="6">
        <f>IF(J3="A",1,IF(J3="B",0.75,IF(J3="C",0.5,IF(J3="F",0))))</f>
        <v/>
      </c>
      <c r="L3" s="12" t="n"/>
      <c r="M3" s="6">
        <f>IF(L3="A",1,IF(L3="B",0.75,IF(L3="C",0.5,IF(L3="F",0))))</f>
        <v/>
      </c>
    </row>
    <row r="4">
      <c r="B4" s="2" t="n"/>
      <c r="C4" s="11" t="n"/>
      <c r="E4" s="6" t="n"/>
      <c r="G4" s="6" t="n"/>
      <c r="I4" s="6" t="n"/>
      <c r="K4" s="6" t="n"/>
      <c r="M4" s="6" t="n"/>
    </row>
    <row r="5">
      <c r="A5" s="9" t="inlineStr">
        <is>
          <t>Financial, Excessive Drawdowns</t>
        </is>
      </c>
      <c r="B5" s="10" t="inlineStr">
        <is>
          <t>F</t>
        </is>
      </c>
      <c r="C5" s="11">
        <f>IF(B5="A",1,IF(B5="B",0.75,IF(B5="C",0.5,IF(B5="F",0))))</f>
        <v/>
      </c>
      <c r="D5" s="12" t="inlineStr">
        <is>
          <t>A</t>
        </is>
      </c>
      <c r="E5" s="6">
        <f>IF(D5="A",1,IF(D5="B",0.75,IF(D5="C",0.5,IF(D5="F",0))))</f>
        <v/>
      </c>
      <c r="F5" s="12" t="n"/>
      <c r="G5" s="6">
        <f>IF(F5="A",1,IF(F5="B",0.75,IF(F5="C",0.5,IF(F5="F",0))))</f>
        <v/>
      </c>
      <c r="H5" s="12" t="n"/>
      <c r="I5" s="6">
        <f>IF(H5="A",1,IF(H5="B",0.75,IF(H5="C",0.5,IF(H5="F",0))))</f>
        <v/>
      </c>
      <c r="J5" s="12" t="n"/>
      <c r="K5" s="6">
        <f>IF(J5="A",1,IF(J5="B",0.75,IF(J5="C",0.5,IF(J5="F",0))))</f>
        <v/>
      </c>
      <c r="L5" s="12" t="n"/>
      <c r="M5" s="6">
        <f>IF(L5="A",1,IF(L5="B",0.75,IF(L5="C",0.5,IF(L5="F",0))))</f>
        <v/>
      </c>
    </row>
    <row r="6">
      <c r="B6" s="2" t="n"/>
      <c r="C6" s="11" t="n"/>
      <c r="E6" s="6" t="n"/>
      <c r="G6" s="6" t="n"/>
      <c r="I6" s="6" t="n"/>
      <c r="K6" s="6" t="n"/>
      <c r="M6" s="6" t="n"/>
    </row>
    <row r="7" ht="76.5" customHeight="1">
      <c r="A7" s="9" t="inlineStr">
        <is>
          <t>Performance, PD changes or staffing turnover</t>
        </is>
      </c>
      <c r="B7" s="10" t="inlineStr">
        <is>
          <t>A</t>
        </is>
      </c>
      <c r="C7" s="11">
        <f>IF(B7="A",1,IF(B7="B",0.75,IF(B7="C",0.5,IF(B7="F",0))))</f>
        <v/>
      </c>
      <c r="D7" s="12" t="inlineStr">
        <is>
          <t>B</t>
        </is>
      </c>
      <c r="E7" s="6">
        <f>IF(D7="A",1,IF(D7="B",0.75,IF(D7="C",0.5,IF(D7="F",0))))</f>
        <v/>
      </c>
      <c r="F7" s="12" t="n"/>
      <c r="G7" s="6">
        <f>IF(F7="A",1,IF(F7="B",0.75,IF(F7="C",0.5,IF(F7="F",0))))</f>
        <v/>
      </c>
      <c r="H7" s="12" t="n"/>
      <c r="I7" s="6">
        <f>IF(H7="A",1,IF(H7="B",0.75,IF(H7="C",0.5,IF(H7="F",0))))</f>
        <v/>
      </c>
      <c r="J7" s="12" t="n"/>
      <c r="K7" s="6">
        <f>IF(J7="A",1,IF(J7="B",0.75,IF(J7="C",0.5,IF(J7="F",0))))</f>
        <v/>
      </c>
      <c r="L7" s="12" t="n"/>
      <c r="M7" s="6">
        <f>IF(L7="A",1,IF(L7="B",0.75,IF(L7="C",0.5,IF(L7="F",0))))</f>
        <v/>
      </c>
      <c r="N7" s="30" t="inlineStr">
        <is>
          <t>[Note redacted for anonymization]</t>
        </is>
      </c>
    </row>
    <row r="8">
      <c r="B8" s="2" t="n"/>
      <c r="C8" s="11" t="n"/>
      <c r="E8" s="6" t="n"/>
      <c r="G8" s="6" t="n"/>
      <c r="I8" s="6" t="n"/>
      <c r="K8" s="6" t="n"/>
      <c r="M8" s="6" t="n"/>
    </row>
    <row r="9">
      <c r="A9" s="9" t="inlineStr">
        <is>
          <t>Performance, other</t>
        </is>
      </c>
      <c r="B9" s="10" t="inlineStr">
        <is>
          <t>B</t>
        </is>
      </c>
      <c r="C9" s="11">
        <f>IF(B9="A",1,IF(B9="B",0.75,IF(B9="C",0.5,IF(B9="F",0))))</f>
        <v/>
      </c>
      <c r="D9" s="12" t="inlineStr">
        <is>
          <t>A</t>
        </is>
      </c>
      <c r="E9" s="6">
        <f>IF(D9="A",1,IF(D9="B",0.75,IF(D9="C",0.5,IF(D9="F",0))))</f>
        <v/>
      </c>
      <c r="F9" s="12" t="n"/>
      <c r="G9" s="6">
        <f>IF(F9="A",1,IF(F9="B",0.75,IF(F9="C",0.5,IF(F9="F",0))))</f>
        <v/>
      </c>
      <c r="H9" s="12" t="n"/>
      <c r="I9" s="6">
        <f>IF(H9="A",1,IF(H9="B",0.75,IF(H9="C",0.5,IF(H9="F",0))))</f>
        <v/>
      </c>
      <c r="J9" s="12" t="n"/>
      <c r="K9" s="6">
        <f>IF(J9="A",1,IF(J9="B",0.75,IF(J9="C",0.5,IF(J9="F",0))))</f>
        <v/>
      </c>
      <c r="L9" s="12" t="n"/>
      <c r="M9" s="6">
        <f>IF(L9="A",1,IF(L9="B",0.75,IF(L9="C",0.5,IF(L9="F",0))))</f>
        <v/>
      </c>
    </row>
    <row r="10">
      <c r="B10" s="2" t="n"/>
      <c r="C10" s="11" t="n"/>
      <c r="E10" s="6" t="n"/>
      <c r="G10" s="6" t="n"/>
      <c r="I10" s="6" t="n"/>
      <c r="K10" s="6" t="n"/>
      <c r="M10" s="6" t="n"/>
    </row>
    <row r="11">
      <c r="A11" s="13" t="inlineStr">
        <is>
          <t>Internal controls (could include financial adjustments, lack of drawdowns)</t>
        </is>
      </c>
      <c r="B11" s="10" t="inlineStr">
        <is>
          <t>C</t>
        </is>
      </c>
      <c r="C11" s="11">
        <f>IF(B11="A",1,IF(B11="B",0.75,IF(B11="C",0.5,IF(B11="F",0))))</f>
        <v/>
      </c>
      <c r="D11" s="12" t="inlineStr">
        <is>
          <t>A</t>
        </is>
      </c>
      <c r="E11" s="6">
        <f>IF(D11="A",1,IF(D11="B",0.75,IF(D11="C",0.5,IF(D11="F",0))))</f>
        <v/>
      </c>
      <c r="F11" s="12" t="n"/>
      <c r="G11" s="6">
        <f>IF(F11="A",1,IF(F11="B",0.75,IF(F11="C",0.5,IF(F11="F",0))))</f>
        <v/>
      </c>
      <c r="H11" s="12" t="n"/>
      <c r="I11" s="6">
        <f>IF(H11="A",1,IF(H11="B",0.75,IF(H11="C",0.5,IF(H11="F",0))))</f>
        <v/>
      </c>
      <c r="J11" s="12" t="n"/>
      <c r="K11" s="6">
        <f>IF(J11="A",1,IF(J11="B",0.75,IF(J11="C",0.5,IF(J11="F",0))))</f>
        <v/>
      </c>
      <c r="L11" s="12" t="n"/>
      <c r="M11" s="6">
        <f>IF(L11="A",1,IF(L11="B",0.75,IF(L11="C",0.5,IF(L11="F",0))))</f>
        <v/>
      </c>
    </row>
    <row r="12">
      <c r="B12" s="2" t="n"/>
      <c r="C12" s="11" t="n"/>
      <c r="E12" s="6" t="n"/>
      <c r="G12" s="6" t="n"/>
      <c r="I12" s="6" t="n"/>
      <c r="K12" s="6" t="n"/>
      <c r="M12" s="6" t="n"/>
    </row>
    <row r="13">
      <c r="A13" t="inlineStr">
        <is>
          <t>Conditions</t>
        </is>
      </c>
      <c r="B13" s="10" t="inlineStr">
        <is>
          <t>A</t>
        </is>
      </c>
      <c r="C13" s="11">
        <f>IF(B13="A",1,IF(B13="B",0.75,IF(B13="C",0.5,IF(B13="F",0))))</f>
        <v/>
      </c>
      <c r="D13" s="12" t="inlineStr">
        <is>
          <t>A</t>
        </is>
      </c>
      <c r="E13" s="6">
        <f>IF(D13="A",1,IF(D13="B",0.75,IF(D13="C",0.5,IF(D13="F",0))))</f>
        <v/>
      </c>
      <c r="F13" s="12" t="n"/>
      <c r="G13" s="6">
        <f>IF(F13="A",1,IF(F13="B",0.75,IF(F13="C",0.5,IF(F13="F",0))))</f>
        <v/>
      </c>
      <c r="H13" s="12" t="n"/>
      <c r="I13" s="6">
        <f>IF(H13="A",1,IF(H13="B",0.75,IF(H13="C",0.5,IF(H13="F",0))))</f>
        <v/>
      </c>
      <c r="J13" s="12" t="n"/>
      <c r="K13" s="6">
        <f>IF(J13="A",1,IF(J13="B",0.75,IF(J13="C",0.5,IF(J13="F",0))))</f>
        <v/>
      </c>
      <c r="L13" s="12" t="n"/>
      <c r="M13" s="6">
        <f>IF(L13="A",1,IF(L13="B",0.75,IF(L13="C",0.5,IF(L13="F",0))))</f>
        <v/>
      </c>
    </row>
    <row r="14">
      <c r="E14" s="6" t="n"/>
      <c r="G14" s="6" t="n"/>
      <c r="I14" s="6" t="n"/>
      <c r="K14" s="6" t="n"/>
      <c r="M14" s="6" t="n"/>
    </row>
    <row r="15">
      <c r="A15" s="14" t="inlineStr">
        <is>
          <t>TOTAL SCORE ADMINISTRATIVE</t>
        </is>
      </c>
      <c r="B15" s="14" t="n"/>
      <c r="C15" s="15">
        <f>SUM(C3*0.1, C5*0.1, C7*0.1, C9*0.5,C11*0.1,C13*0.1)</f>
        <v/>
      </c>
      <c r="D15" s="15" t="n"/>
      <c r="E15" s="15">
        <f>SUM(E3*0.1, E5*0.1, E7*0.1, E9*0.55,E11*0.1,E13*0.05)</f>
        <v/>
      </c>
      <c r="F15" s="15" t="n"/>
      <c r="G15" s="15">
        <f>SUM(G3*0.1, G5*0.1, G7*0.1, G9*0.55,G11*0.1,G13*0.05)</f>
        <v/>
      </c>
      <c r="H15" s="15" t="n"/>
      <c r="I15" s="15">
        <f>SUM(I3*0.1, I5*0.1, I7*0.1, I9*0.55,I11*0.1,I13*0.05)</f>
        <v/>
      </c>
      <c r="J15" s="15" t="n"/>
      <c r="K15" s="15">
        <f>SUM(K3*0.1, K5*0.1, K7*0.1, K9*0.55,K11*0.1,K13*0.05)</f>
        <v/>
      </c>
      <c r="L15" s="15" t="n"/>
      <c r="M15" s="15">
        <f>SUM(M3*0.2, M5*0.1, M7*0.1, M9*0.55,M11*0.05)</f>
        <v/>
      </c>
    </row>
    <row r="16">
      <c r="A16" s="1" t="n"/>
      <c r="B16" s="1" t="n"/>
      <c r="C16" s="1" t="n"/>
      <c r="D16" s="1" t="n"/>
      <c r="E16" s="16" t="n"/>
      <c r="F16" s="1" t="n"/>
      <c r="G16" s="16" t="n"/>
      <c r="H16" s="1" t="n"/>
      <c r="I16" s="16" t="n"/>
      <c r="J16" s="1" t="n"/>
      <c r="K16" s="16" t="n"/>
      <c r="L16" s="1" t="n"/>
      <c r="M16" s="16" t="n"/>
    </row>
    <row r="17">
      <c r="A17" s="1" t="inlineStr">
        <is>
          <t>GPRA MEASURES</t>
        </is>
      </c>
      <c r="E17" s="6" t="n"/>
      <c r="G17" s="6" t="n"/>
      <c r="I17" s="6" t="n"/>
      <c r="K17" s="6" t="n"/>
      <c r="M17" s="6" t="n"/>
    </row>
    <row r="18">
      <c r="A18" s="17" t="inlineStr">
        <is>
          <t>GPRA 1: Hired</t>
        </is>
      </c>
      <c r="B18" s="2" t="n"/>
      <c r="C18" s="18" t="n"/>
      <c r="D18" s="18" t="n"/>
      <c r="E18" s="19" t="n"/>
      <c r="F18" s="20" t="n"/>
      <c r="G18" s="19" t="n"/>
      <c r="H18" s="20" t="n"/>
      <c r="I18" s="19" t="n"/>
      <c r="J18" s="20" t="n"/>
      <c r="K18" s="19" t="n"/>
      <c r="L18" s="20" t="n"/>
      <c r="M18" s="19" t="n"/>
    </row>
    <row r="19">
      <c r="A19" s="21" t="inlineStr">
        <is>
          <t>GPRA 2: Retained</t>
        </is>
      </c>
      <c r="B19" s="22" t="n"/>
      <c r="C19" s="18" t="n"/>
      <c r="D19" s="18" t="n"/>
      <c r="E19" s="23" t="n"/>
      <c r="F19" s="24" t="n"/>
      <c r="G19" s="23" t="n"/>
      <c r="H19" s="24" t="n"/>
      <c r="I19" s="23" t="n"/>
      <c r="J19" s="24" t="n"/>
      <c r="K19" s="23" t="n"/>
      <c r="L19" s="24" t="n"/>
      <c r="M19" s="23" t="n"/>
    </row>
    <row r="20">
      <c r="A20" t="inlineStr">
        <is>
          <t>GPRA 3: Ratio</t>
        </is>
      </c>
      <c r="B20" s="22" t="n"/>
      <c r="C20" s="18" t="n"/>
      <c r="D20" s="18" t="n"/>
      <c r="E20" s="23" t="n"/>
      <c r="F20" s="24" t="n"/>
      <c r="G20" s="23" t="n"/>
      <c r="H20" s="24" t="n"/>
      <c r="I20" s="23" t="n"/>
      <c r="J20" s="24" t="n"/>
      <c r="K20" s="23" t="n"/>
      <c r="L20" s="24" t="n"/>
      <c r="M20" s="23" t="n"/>
    </row>
    <row r="21">
      <c r="A21" s="18" t="inlineStr">
        <is>
          <t>GPRA 4: Attrition</t>
        </is>
      </c>
      <c r="B21" s="22" t="n"/>
      <c r="C21" s="18" t="n"/>
      <c r="D21" s="18" t="n"/>
      <c r="E21" s="23" t="n"/>
      <c r="F21" s="24" t="n"/>
      <c r="G21" s="23" t="n"/>
      <c r="H21" s="24" t="n"/>
      <c r="I21" s="23" t="n"/>
      <c r="J21" s="24" t="n"/>
      <c r="K21" s="23" t="n"/>
      <c r="L21" s="24" t="n"/>
      <c r="M21" s="23" t="n"/>
    </row>
    <row r="22">
      <c r="A22" s="25" t="inlineStr">
        <is>
          <t>[Note redacted for anonymization]</t>
        </is>
      </c>
      <c r="B22" s="12" t="n"/>
      <c r="C22" s="18" t="n"/>
      <c r="D22" s="18" t="n"/>
      <c r="E22" s="26" t="n"/>
      <c r="F22" s="24" t="n"/>
      <c r="G22" s="26" t="n"/>
      <c r="H22" s="24" t="n"/>
      <c r="I22" s="26" t="n"/>
      <c r="J22" s="24" t="n"/>
      <c r="K22" s="26" t="n"/>
      <c r="L22" s="24" t="n"/>
      <c r="M22" s="26" t="n"/>
    </row>
    <row r="23">
      <c r="A23" s="15" t="inlineStr">
        <is>
          <t>TOTAL SCORE GPRA</t>
        </is>
      </c>
      <c r="B23" s="15">
        <f>SUM(B18*0.4, B19*0.2, B20*0.1, B21*0.2, B22*0.1)</f>
        <v/>
      </c>
      <c r="C23" s="15" t="n"/>
      <c r="D23" s="15" t="n"/>
      <c r="E23" s="15">
        <f>-SUM(E18*0.4, E19*0.2, E20*0.1, E21*0.2, E22*0.1)</f>
        <v/>
      </c>
      <c r="F23" s="15" t="n"/>
      <c r="G23" s="15">
        <f>-SUM(G18*0.4, G19*0.2, G20*0.1, G21*0.2, G22*0.1)</f>
        <v/>
      </c>
      <c r="H23" s="15" t="n"/>
      <c r="I23" s="15">
        <f>-SUM(I18*0.4, I19*0.2, I20*0.1, I21*0.2, I22*0.1)</f>
        <v/>
      </c>
      <c r="J23" s="15" t="n"/>
      <c r="K23" s="15">
        <f>-SUM(K18*0.4, K19*0.2, K20*0.1, K21*0.2, K22*0.1)</f>
        <v/>
      </c>
      <c r="L23" s="15" t="n"/>
      <c r="M23" s="15">
        <f>-SUM(M18*0.4, M19*0.2, M20*0.1, M21*0.2, M22*0.1)</f>
        <v/>
      </c>
    </row>
    <row r="24">
      <c r="E24" s="6" t="n"/>
      <c r="G24" s="6" t="n"/>
      <c r="I24" s="6" t="n"/>
      <c r="K24" s="6" t="n"/>
      <c r="M24" s="6" t="n"/>
    </row>
    <row r="25">
      <c r="E25" s="6" t="n"/>
      <c r="G25" s="6" t="n"/>
      <c r="I25" s="6" t="n"/>
      <c r="K25" s="6" t="n"/>
      <c r="M25" s="6" t="n"/>
    </row>
    <row r="26">
      <c r="A26" s="27" t="inlineStr">
        <is>
          <t>TOTAL SCORES</t>
        </is>
      </c>
      <c r="B26" s="27" t="n"/>
      <c r="C26" s="28">
        <f>SUM(C15*0.6, B23*0.4)</f>
        <v/>
      </c>
      <c r="D26" s="27" t="n"/>
      <c r="E26" s="28">
        <f>SUM(E15*0.6, E23*0.4)</f>
        <v/>
      </c>
      <c r="F26" s="28" t="n"/>
      <c r="G26" s="28">
        <f>SUM(G15*0.6, G23*0.4)</f>
        <v/>
      </c>
      <c r="H26" s="28" t="n"/>
      <c r="I26" s="28">
        <f>SUM(I15*0.5, I23*0.5)</f>
        <v/>
      </c>
      <c r="J26" s="28" t="n"/>
      <c r="K26" s="28">
        <f>SUM(K15*0.4, K23*0.6)</f>
        <v/>
      </c>
      <c r="L26" s="28" t="n"/>
      <c r="M26" s="28">
        <f>SUM(M15*0.3, M23*0.7)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tabSelected="1" workbookViewId="0">
      <selection activeCell="N9" sqref="N9"/>
    </sheetView>
  </sheetViews>
  <sheetFormatPr baseColWidth="8" defaultRowHeight="15"/>
  <cols>
    <col width="63.42578125" customWidth="1" min="1" max="1"/>
    <col width="39.140625" customWidth="1" min="14" max="14"/>
  </cols>
  <sheetData>
    <row r="1">
      <c r="A1" s="1" t="inlineStr">
        <is>
          <t>Measure</t>
        </is>
      </c>
      <c r="B1" s="2" t="inlineStr">
        <is>
          <t>EXAMPLE</t>
        </is>
      </c>
      <c r="C1" s="2" t="n"/>
      <c r="D1" s="3" t="inlineStr">
        <is>
          <t>Y1</t>
        </is>
      </c>
      <c r="E1" s="4" t="n"/>
      <c r="F1" s="5" t="inlineStr">
        <is>
          <t>Y2</t>
        </is>
      </c>
      <c r="G1" s="4" t="n"/>
      <c r="H1" s="5" t="inlineStr">
        <is>
          <t>Y3</t>
        </is>
      </c>
      <c r="I1" s="4" t="n"/>
      <c r="J1" s="5" t="inlineStr">
        <is>
          <t>Y4</t>
        </is>
      </c>
      <c r="K1" s="4" t="n"/>
      <c r="L1" s="5" t="inlineStr">
        <is>
          <t>Y5</t>
        </is>
      </c>
      <c r="M1" s="6" t="n"/>
      <c r="N1" s="5" t="inlineStr">
        <is>
          <t>Notes</t>
        </is>
      </c>
    </row>
    <row r="2">
      <c r="A2" s="1" t="inlineStr">
        <is>
          <t>[Note redacted for anonymization]</t>
        </is>
      </c>
      <c r="B2" s="2" t="n"/>
      <c r="C2" s="2" t="n"/>
      <c r="D2" s="7" t="n"/>
      <c r="E2" s="8" t="n"/>
      <c r="F2" s="7" t="n"/>
      <c r="G2" s="8" t="n"/>
      <c r="H2" s="7" t="n"/>
      <c r="I2" s="8" t="n"/>
      <c r="J2" s="7" t="n"/>
      <c r="K2" s="8" t="n"/>
      <c r="L2" s="7" t="n"/>
      <c r="M2" s="6" t="n"/>
      <c r="N2" s="7" t="n"/>
    </row>
    <row r="3">
      <c r="A3" s="9" t="inlineStr">
        <is>
          <t>Financial, LAB &gt;70%</t>
        </is>
      </c>
      <c r="B3" s="10" t="inlineStr">
        <is>
          <t>A</t>
        </is>
      </c>
      <c r="C3" s="11">
        <f>IF(B3="A",1,IF(B3="B",0.75,IF(B3="C",0.5,IF(B3="F",0))))</f>
        <v/>
      </c>
      <c r="D3" s="12" t="inlineStr">
        <is>
          <t>A</t>
        </is>
      </c>
      <c r="E3" s="6">
        <f>IF(D3="A",1,IF(D3="B",0.75,IF(D3="C",0.5,IF(D3="F",0))))</f>
        <v/>
      </c>
      <c r="F3" s="12" t="n"/>
      <c r="G3" s="6">
        <f>IF(F3="A",1,IF(F3="B",0.75,IF(F3="C",0.5,IF(F3="F",0))))</f>
        <v/>
      </c>
      <c r="H3" s="12" t="n"/>
      <c r="I3" s="6">
        <f>IF(H3="A",1,IF(H3="B",0.75,IF(H3="C",0.5,IF(H3="F",0))))</f>
        <v/>
      </c>
      <c r="J3" s="12" t="n"/>
      <c r="K3" s="6">
        <f>IF(J3="A",1,IF(J3="B",0.75,IF(J3="C",0.5,IF(J3="F",0))))</f>
        <v/>
      </c>
      <c r="L3" s="12" t="n"/>
      <c r="M3" s="6">
        <f>IF(L3="A",1,IF(L3="B",0.75,IF(L3="C",0.5,IF(L3="F",0))))</f>
        <v/>
      </c>
    </row>
    <row r="4">
      <c r="B4" s="2" t="n"/>
      <c r="C4" s="11" t="n"/>
      <c r="E4" s="6" t="n"/>
      <c r="G4" s="6" t="n"/>
      <c r="I4" s="6" t="n"/>
      <c r="K4" s="6" t="n"/>
      <c r="M4" s="6" t="n"/>
    </row>
    <row r="5">
      <c r="A5" s="9" t="inlineStr">
        <is>
          <t>Financial, Excessive Drawdowns</t>
        </is>
      </c>
      <c r="B5" s="10" t="inlineStr">
        <is>
          <t>F</t>
        </is>
      </c>
      <c r="C5" s="11">
        <f>IF(B5="A",1,IF(B5="B",0.75,IF(B5="C",0.5,IF(B5="F",0))))</f>
        <v/>
      </c>
      <c r="D5" s="12" t="inlineStr">
        <is>
          <t>A</t>
        </is>
      </c>
      <c r="E5" s="6">
        <f>IF(D5="A",1,IF(D5="B",0.75,IF(D5="C",0.5,IF(D5="F",0))))</f>
        <v/>
      </c>
      <c r="F5" s="12" t="n"/>
      <c r="G5" s="6">
        <f>IF(F5="A",1,IF(F5="B",0.75,IF(F5="C",0.5,IF(F5="F",0))))</f>
        <v/>
      </c>
      <c r="H5" s="12" t="n"/>
      <c r="I5" s="6">
        <f>IF(H5="A",1,IF(H5="B",0.75,IF(H5="C",0.5,IF(H5="F",0))))</f>
        <v/>
      </c>
      <c r="J5" s="12" t="n"/>
      <c r="K5" s="6">
        <f>IF(J5="A",1,IF(J5="B",0.75,IF(J5="C",0.5,IF(J5="F",0))))</f>
        <v/>
      </c>
      <c r="L5" s="12" t="n"/>
      <c r="M5" s="6">
        <f>IF(L5="A",1,IF(L5="B",0.75,IF(L5="C",0.5,IF(L5="F",0))))</f>
        <v/>
      </c>
    </row>
    <row r="6">
      <c r="B6" s="2" t="n"/>
      <c r="C6" s="11" t="n"/>
      <c r="E6" s="6" t="n"/>
      <c r="G6" s="6" t="n"/>
      <c r="I6" s="6" t="n"/>
      <c r="K6" s="6" t="n"/>
      <c r="M6" s="6" t="n"/>
    </row>
    <row r="7">
      <c r="A7" s="9" t="inlineStr">
        <is>
          <t>Performance, PD changes or staffing turnover</t>
        </is>
      </c>
      <c r="B7" s="10" t="inlineStr">
        <is>
          <t>A</t>
        </is>
      </c>
      <c r="C7" s="11">
        <f>IF(B7="A",1,IF(B7="B",0.75,IF(B7="C",0.5,IF(B7="F",0))))</f>
        <v/>
      </c>
      <c r="D7" s="12" t="inlineStr">
        <is>
          <t>A</t>
        </is>
      </c>
      <c r="E7" s="6">
        <f>IF(D7="A",1,IF(D7="B",0.75,IF(D7="C",0.5,IF(D7="F",0))))</f>
        <v/>
      </c>
      <c r="F7" s="12" t="n"/>
      <c r="G7" s="6">
        <f>IF(F7="A",1,IF(F7="B",0.75,IF(F7="C",0.5,IF(F7="F",0))))</f>
        <v/>
      </c>
      <c r="H7" s="12" t="n"/>
      <c r="I7" s="6">
        <f>IF(H7="A",1,IF(H7="B",0.75,IF(H7="C",0.5,IF(H7="F",0))))</f>
        <v/>
      </c>
      <c r="J7" s="12" t="n"/>
      <c r="K7" s="6">
        <f>IF(J7="A",1,IF(J7="B",0.75,IF(J7="C",0.5,IF(J7="F",0))))</f>
        <v/>
      </c>
      <c r="L7" s="12" t="n"/>
      <c r="M7" s="6">
        <f>IF(L7="A",1,IF(L7="B",0.75,IF(L7="C",0.5,IF(L7="F",0))))</f>
        <v/>
      </c>
    </row>
    <row r="8">
      <c r="B8" s="2" t="n"/>
      <c r="C8" s="11" t="n"/>
      <c r="E8" s="6" t="n"/>
      <c r="G8" s="6" t="n"/>
      <c r="I8" s="6" t="n"/>
      <c r="K8" s="6" t="n"/>
      <c r="M8" s="6" t="n"/>
    </row>
    <row r="9">
      <c r="A9" s="9" t="inlineStr">
        <is>
          <t>Performance, other</t>
        </is>
      </c>
      <c r="B9" s="10" t="inlineStr">
        <is>
          <t>B</t>
        </is>
      </c>
      <c r="C9" s="11">
        <f>IF(B9="A",1,IF(B9="B",0.75,IF(B9="C",0.5,IF(B9="F",0))))</f>
        <v/>
      </c>
      <c r="D9" s="12" t="inlineStr">
        <is>
          <t>A</t>
        </is>
      </c>
      <c r="E9" s="6">
        <f>IF(D9="A",1,IF(D9="B",0.75,IF(D9="C",0.5,IF(D9="F",0))))</f>
        <v/>
      </c>
      <c r="F9" s="12" t="n"/>
      <c r="G9" s="6">
        <f>IF(F9="A",1,IF(F9="B",0.75,IF(F9="C",0.5,IF(F9="F",0))))</f>
        <v/>
      </c>
      <c r="H9" s="12" t="n"/>
      <c r="I9" s="6">
        <f>IF(H9="A",1,IF(H9="B",0.75,IF(H9="C",0.5,IF(H9="F",0))))</f>
        <v/>
      </c>
      <c r="J9" s="12" t="n"/>
      <c r="K9" s="6">
        <f>IF(J9="A",1,IF(J9="B",0.75,IF(J9="C",0.5,IF(J9="F",0))))</f>
        <v/>
      </c>
      <c r="L9" s="12" t="n"/>
      <c r="M9" s="6">
        <f>IF(L9="A",1,IF(L9="B",0.75,IF(L9="C",0.5,IF(L9="F",0))))</f>
        <v/>
      </c>
    </row>
    <row r="10">
      <c r="B10" s="2" t="n"/>
      <c r="C10" s="11" t="n"/>
      <c r="E10" s="6" t="n"/>
      <c r="G10" s="6" t="n"/>
      <c r="I10" s="6" t="n"/>
      <c r="K10" s="6" t="n"/>
      <c r="M10" s="6" t="n"/>
    </row>
    <row r="11" ht="30.75" customHeight="1">
      <c r="A11" s="13" t="inlineStr">
        <is>
          <t>Internal controls (could include financial adjustments, lack of drawdowns)</t>
        </is>
      </c>
      <c r="B11" s="10" t="inlineStr">
        <is>
          <t>C</t>
        </is>
      </c>
      <c r="C11" s="11">
        <f>IF(B11="A",1,IF(B11="B",0.75,IF(B11="C",0.5,IF(B11="F",0))))</f>
        <v/>
      </c>
      <c r="D11" s="12" t="inlineStr">
        <is>
          <t>A</t>
        </is>
      </c>
      <c r="E11" s="6">
        <f>IF(D11="A",1,IF(D11="B",0.75,IF(D11="C",0.5,IF(D11="F",0))))</f>
        <v/>
      </c>
      <c r="F11" s="12" t="n"/>
      <c r="G11" s="6">
        <f>IF(F11="A",1,IF(F11="B",0.75,IF(F11="C",0.5,IF(F11="F",0))))</f>
        <v/>
      </c>
      <c r="H11" s="12" t="n"/>
      <c r="I11" s="6">
        <f>IF(H11="A",1,IF(H11="B",0.75,IF(H11="C",0.5,IF(H11="F",0))))</f>
        <v/>
      </c>
      <c r="J11" s="12" t="n"/>
      <c r="K11" s="6">
        <f>IF(J11="A",1,IF(J11="B",0.75,IF(J11="C",0.5,IF(J11="F",0))))</f>
        <v/>
      </c>
      <c r="L11" s="12" t="n"/>
      <c r="M11" s="6">
        <f>IF(L11="A",1,IF(L11="B",0.75,IF(L11="C",0.5,IF(L11="F",0))))</f>
        <v/>
      </c>
    </row>
    <row r="12">
      <c r="B12" s="2" t="n"/>
      <c r="C12" s="11" t="n"/>
      <c r="E12" s="6" t="n"/>
      <c r="G12" s="6" t="n"/>
      <c r="I12" s="6" t="n"/>
      <c r="K12" s="6" t="n"/>
      <c r="M12" s="6" t="n"/>
    </row>
    <row r="13">
      <c r="A13" t="inlineStr">
        <is>
          <t>Conditions</t>
        </is>
      </c>
      <c r="B13" s="10" t="inlineStr">
        <is>
          <t>A</t>
        </is>
      </c>
      <c r="C13" s="11">
        <f>IF(B13="A",1,IF(B13="B",0.75,IF(B13="C",0.5,IF(B13="F",0))))</f>
        <v/>
      </c>
      <c r="D13" s="12" t="inlineStr">
        <is>
          <t>A</t>
        </is>
      </c>
      <c r="E13" s="6">
        <f>IF(D13="A",1,IF(D13="B",0.75,IF(D13="C",0.5,IF(D13="F",0))))</f>
        <v/>
      </c>
      <c r="F13" s="12" t="n"/>
      <c r="G13" s="6">
        <f>IF(F13="A",1,IF(F13="B",0.75,IF(F13="C",0.5,IF(F13="F",0))))</f>
        <v/>
      </c>
      <c r="H13" s="12" t="n"/>
      <c r="I13" s="6">
        <f>IF(H13="A",1,IF(H13="B",0.75,IF(H13="C",0.5,IF(H13="F",0))))</f>
        <v/>
      </c>
      <c r="J13" s="12" t="n"/>
      <c r="K13" s="6">
        <f>IF(J13="A",1,IF(J13="B",0.75,IF(J13="C",0.5,IF(J13="F",0))))</f>
        <v/>
      </c>
      <c r="L13" s="12" t="n"/>
      <c r="M13" s="6">
        <f>IF(L13="A",1,IF(L13="B",0.75,IF(L13="C",0.5,IF(L13="F",0))))</f>
        <v/>
      </c>
    </row>
    <row r="14">
      <c r="E14" s="6" t="n"/>
      <c r="G14" s="6" t="n"/>
      <c r="I14" s="6" t="n"/>
      <c r="K14" s="6" t="n"/>
      <c r="M14" s="6" t="n"/>
    </row>
    <row r="15">
      <c r="A15" s="14" t="inlineStr">
        <is>
          <t>TOTAL SCORE ADMINISTRATIVE</t>
        </is>
      </c>
      <c r="B15" s="14" t="n"/>
      <c r="C15" s="15">
        <f>SUM(C3*0.1, C5*0.1, C7*0.1, C9*0.5,C11*0.1,C13*0.1)</f>
        <v/>
      </c>
      <c r="D15" s="15" t="n"/>
      <c r="E15" s="15">
        <f>SUM(E3*0.1, E5*0.1, E7*0.1, E9*0.55,E11*0.1,E13*0.05)</f>
        <v/>
      </c>
      <c r="F15" s="15" t="n"/>
      <c r="G15" s="15">
        <f>SUM(G3*0.1, G5*0.1, G7*0.1, G9*0.55,G11*0.1,G13*0.05)</f>
        <v/>
      </c>
      <c r="H15" s="15" t="n"/>
      <c r="I15" s="15">
        <f>SUM(I3*0.1, I5*0.1, I7*0.1, I9*0.55,I11*0.1,I13*0.05)</f>
        <v/>
      </c>
      <c r="J15" s="15" t="n"/>
      <c r="K15" s="15">
        <f>SUM(K3*0.1, K5*0.1, K7*0.1, K9*0.55,K11*0.1,K13*0.05)</f>
        <v/>
      </c>
      <c r="L15" s="15" t="n"/>
      <c r="M15" s="15">
        <f>SUM(M3*0.2, M5*0.1, M7*0.1, M9*0.55,M11*0.05)</f>
        <v/>
      </c>
    </row>
    <row r="16">
      <c r="A16" s="1" t="n"/>
      <c r="B16" s="1" t="n"/>
      <c r="C16" s="1" t="n"/>
      <c r="D16" s="1" t="n"/>
      <c r="E16" s="16" t="n"/>
      <c r="F16" s="1" t="n"/>
      <c r="G16" s="16" t="n"/>
      <c r="H16" s="1" t="n"/>
      <c r="I16" s="16" t="n"/>
      <c r="J16" s="1" t="n"/>
      <c r="K16" s="16" t="n"/>
      <c r="L16" s="1" t="n"/>
      <c r="M16" s="16" t="n"/>
    </row>
    <row r="17">
      <c r="A17" s="1" t="inlineStr">
        <is>
          <t>GPRA MEASURES</t>
        </is>
      </c>
      <c r="E17" s="6" t="n"/>
      <c r="G17" s="6" t="n"/>
      <c r="I17" s="6" t="n"/>
      <c r="K17" s="6" t="n"/>
      <c r="M17" s="6" t="n"/>
    </row>
    <row r="18">
      <c r="A18" s="17" t="inlineStr">
        <is>
          <t>GPRA 1: Hired</t>
        </is>
      </c>
      <c r="B18" s="2" t="n"/>
      <c r="C18" s="18" t="n"/>
      <c r="D18" s="18" t="n"/>
      <c r="E18" s="19" t="n"/>
      <c r="F18" s="20" t="n"/>
      <c r="G18" s="19" t="n"/>
      <c r="H18" s="20" t="n"/>
      <c r="I18" s="19" t="n"/>
      <c r="J18" s="20" t="n"/>
      <c r="K18" s="19" t="n"/>
      <c r="L18" s="20" t="n"/>
      <c r="M18" s="19" t="n"/>
    </row>
    <row r="19">
      <c r="A19" s="21" t="inlineStr">
        <is>
          <t>GPRA 2: Retained</t>
        </is>
      </c>
      <c r="B19" s="22" t="n"/>
      <c r="C19" s="18" t="n"/>
      <c r="D19" s="18" t="n"/>
      <c r="E19" s="23" t="n"/>
      <c r="F19" s="24" t="n"/>
      <c r="G19" s="23" t="n"/>
      <c r="H19" s="24" t="n"/>
      <c r="I19" s="23" t="n"/>
      <c r="J19" s="24" t="n"/>
      <c r="K19" s="23" t="n"/>
      <c r="L19" s="24" t="n"/>
      <c r="M19" s="23" t="n"/>
    </row>
    <row r="20">
      <c r="A20" t="inlineStr">
        <is>
          <t>GPRA 3: Ratio</t>
        </is>
      </c>
      <c r="B20" s="22" t="n"/>
      <c r="C20" s="18" t="n"/>
      <c r="D20" s="18" t="n"/>
      <c r="E20" s="23" t="n"/>
      <c r="F20" s="24" t="n"/>
      <c r="G20" s="23" t="n"/>
      <c r="H20" s="24" t="n"/>
      <c r="I20" s="23" t="n"/>
      <c r="J20" s="24" t="n"/>
      <c r="K20" s="23" t="n"/>
      <c r="L20" s="24" t="n"/>
      <c r="M20" s="23" t="n"/>
    </row>
    <row r="21">
      <c r="A21" s="18" t="inlineStr">
        <is>
          <t>GPRA 4: Attrition</t>
        </is>
      </c>
      <c r="B21" s="22" t="n"/>
      <c r="C21" s="18" t="n"/>
      <c r="D21" s="18" t="n"/>
      <c r="E21" s="23" t="n"/>
      <c r="F21" s="24" t="n"/>
      <c r="G21" s="23" t="n"/>
      <c r="H21" s="24" t="n"/>
      <c r="I21" s="23" t="n"/>
      <c r="J21" s="24" t="n"/>
      <c r="K21" s="23" t="n"/>
      <c r="L21" s="24" t="n"/>
      <c r="M21" s="23" t="n"/>
    </row>
    <row r="22">
      <c r="A22" s="25" t="inlineStr">
        <is>
          <t>[Note redacted for anonymization]</t>
        </is>
      </c>
      <c r="B22" s="12" t="n"/>
      <c r="C22" s="18" t="n"/>
      <c r="D22" s="18" t="n"/>
      <c r="E22" s="26" t="n"/>
      <c r="F22" s="24" t="n"/>
      <c r="G22" s="26" t="n"/>
      <c r="H22" s="24" t="n"/>
      <c r="I22" s="26" t="n"/>
      <c r="J22" s="24" t="n"/>
      <c r="K22" s="26" t="n"/>
      <c r="L22" s="24" t="n"/>
      <c r="M22" s="26" t="n"/>
    </row>
    <row r="23">
      <c r="A23" s="15" t="inlineStr">
        <is>
          <t>TOTAL SCORE GPRA</t>
        </is>
      </c>
      <c r="B23" s="15">
        <f>SUM(B18*0.4, B19*0.2, B20*0.1, B21*0.2, B22*0.1)</f>
        <v/>
      </c>
      <c r="C23" s="15" t="n"/>
      <c r="D23" s="15" t="n"/>
      <c r="E23" s="15">
        <f>-SUM(E18*0.4, E19*0.2, E20*0.1, E21*0.2, E22*0.1)</f>
        <v/>
      </c>
      <c r="F23" s="15" t="n"/>
      <c r="G23" s="15">
        <f>-SUM(G18*0.4, G19*0.2, G20*0.1, G21*0.2, G22*0.1)</f>
        <v/>
      </c>
      <c r="H23" s="15" t="n"/>
      <c r="I23" s="15">
        <f>-SUM(I18*0.4, I19*0.2, I20*0.1, I21*0.2, I22*0.1)</f>
        <v/>
      </c>
      <c r="J23" s="15" t="n"/>
      <c r="K23" s="15">
        <f>-SUM(K18*0.4, K19*0.2, K20*0.1, K21*0.2, K22*0.1)</f>
        <v/>
      </c>
      <c r="L23" s="15" t="n"/>
      <c r="M23" s="15">
        <f>-SUM(M18*0.4, M19*0.2, M20*0.1, M21*0.2, M22*0.1)</f>
        <v/>
      </c>
    </row>
    <row r="24">
      <c r="E24" s="6" t="n"/>
      <c r="G24" s="6" t="n"/>
      <c r="I24" s="6" t="n"/>
      <c r="K24" s="6" t="n"/>
      <c r="M24" s="6" t="n"/>
    </row>
    <row r="25">
      <c r="E25" s="6" t="n"/>
      <c r="G25" s="6" t="n"/>
      <c r="I25" s="6" t="n"/>
      <c r="K25" s="6" t="n"/>
      <c r="M25" s="6" t="n"/>
    </row>
    <row r="26">
      <c r="A26" s="27" t="inlineStr">
        <is>
          <t>TOTAL SCORES</t>
        </is>
      </c>
      <c r="B26" s="27" t="n"/>
      <c r="C26" s="28">
        <f>SUM(C15*0.6, B23*0.4)</f>
        <v/>
      </c>
      <c r="D26" s="27" t="n"/>
      <c r="E26" s="28">
        <f>SUM(E15*0.6, E23*0.4)</f>
        <v/>
      </c>
      <c r="F26" s="28" t="n"/>
      <c r="G26" s="28">
        <f>SUM(G15*0.6, G23*0.4)</f>
        <v/>
      </c>
      <c r="H26" s="28" t="n"/>
      <c r="I26" s="28">
        <f>SUM(I15*0.5, I23*0.5)</f>
        <v/>
      </c>
      <c r="J26" s="28" t="n"/>
      <c r="K26" s="28">
        <f>SUM(K15*0.4, K23*0.6)</f>
        <v/>
      </c>
      <c r="L26" s="28" t="n"/>
      <c r="M26" s="28">
        <f>SUM(M15*0.3, M23*0.7)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2025-08-28T15:16:29Z</dcterms:created>
  <dcterms:modified xmlns:dcterms="http://purl.org/dc/terms/" xmlns:xsi="http://www.w3.org/2001/XMLSchema-instance" xsi:type="dcterms:W3CDTF">2026-03-27T05:06:11Z</dcterms:modified>
  <cp:lastModifiedBy>Karlovetz, Rachele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0x010100BD4EFC88C5D69F408EA78CB49BAFCE78</vt:lpwstr>
  </property>
</Properties>
</file>