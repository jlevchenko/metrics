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500" windowWidth="29040" windowHeight="15720" tabRatio="600" firstSheet="2" activeTab="4" autoFilterDateGrouping="1"/>
  </bookViews>
  <sheets>
    <sheet xmlns:r="http://schemas.openxmlformats.org/officeDocument/2006/relationships" name="Directions" sheetId="1" state="visible" r:id="rId1"/>
    <sheet xmlns:r="http://schemas.openxmlformats.org/officeDocument/2006/relationships" name="Definitions" sheetId="2" state="visible" r:id="rId2"/>
    <sheet xmlns:r="http://schemas.openxmlformats.org/officeDocument/2006/relationships" name="SBMH Grantees" sheetId="3" state="visible" r:id="rId3"/>
    <sheet xmlns:r="http://schemas.openxmlformats.org/officeDocument/2006/relationships" name="S184H220" sheetId="4" state="visible" r:id="rId4"/>
    <sheet xmlns:r="http://schemas.openxmlformats.org/officeDocument/2006/relationships" name="S184H2200 (2)" sheetId="5" state="visible" r:id="rId5"/>
    <sheet xmlns:r="http://schemas.openxmlformats.org/officeDocument/2006/relationships" name="S184H2200" sheetId="6" state="visible" r:id="rId6"/>
    <sheet xmlns:r="http://schemas.openxmlformats.org/officeDocument/2006/relationships" name="Sheet8" sheetId="7" state="visible" r:id="rId7"/>
    <sheet xmlns:r="http://schemas.openxmlformats.org/officeDocument/2006/relationships" name="Administrative Factors" sheetId="8" state="hidden" r:id="rId8"/>
    <sheet xmlns:r="http://schemas.openxmlformats.org/officeDocument/2006/relationships" name="SBMH- GPRA" sheetId="9" state="hidden" r:id="rId9"/>
    <sheet xmlns:r="http://schemas.openxmlformats.org/officeDocument/2006/relationships" name="MHSP - GPRA" sheetId="10" state="hidden" r:id="rId10"/>
    <sheet xmlns:r="http://schemas.openxmlformats.org/officeDocument/2006/relationships" name="SBMH Substantial Progress" sheetId="11" state="hidden" r:id="rId11"/>
    <sheet xmlns:r="http://schemas.openxmlformats.org/officeDocument/2006/relationships" name="MHSP Substantial Progress" sheetId="12" state="hidden" r:id="rId12"/>
  </sheets>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theme="1"/>
      <sz val="11"/>
      <scheme val="minor"/>
    </font>
    <font>
      <name val="Calibri"/>
      <family val="2"/>
      <b val="1"/>
      <color theme="1"/>
      <sz val="11"/>
      <scheme val="minor"/>
    </font>
    <font>
      <name val="Calibri"/>
      <family val="2"/>
      <i val="1"/>
      <color theme="1"/>
      <sz val="11"/>
      <scheme val="minor"/>
    </font>
    <font>
      <name val="Calibri"/>
      <family val="2"/>
      <b val="1"/>
      <i val="1"/>
      <color theme="1"/>
      <sz val="11"/>
      <scheme val="minor"/>
    </font>
    <font>
      <name val="Tahoma"/>
      <family val="2"/>
      <color indexed="81"/>
      <sz val="9"/>
    </font>
    <font>
      <name val="Tahoma"/>
      <family val="2"/>
      <b val="1"/>
      <color indexed="81"/>
      <sz val="9"/>
    </font>
    <font>
      <name val="Calibri"/>
      <family val="2"/>
      <sz val="11"/>
      <scheme val="minor"/>
    </font>
  </fonts>
  <fills count="11">
    <fill>
      <patternFill/>
    </fill>
    <fill>
      <patternFill patternType="gray125"/>
    </fill>
    <fill>
      <patternFill patternType="solid">
        <fgColor theme="2"/>
        <bgColor indexed="64"/>
      </patternFill>
    </fill>
    <fill>
      <patternFill patternType="solid">
        <fgColor theme="9" tint="0.7999816888943144"/>
        <bgColor indexed="64"/>
      </patternFill>
    </fill>
    <fill>
      <patternFill patternType="solid">
        <fgColor rgb="FFFF0000"/>
        <bgColor indexed="64"/>
      </patternFill>
    </fill>
    <fill>
      <patternFill patternType="solid">
        <fgColor theme="7"/>
        <bgColor indexed="64"/>
      </patternFill>
    </fill>
    <fill>
      <patternFill patternType="solid">
        <fgColor rgb="FFFFFF00"/>
        <bgColor indexed="64"/>
      </patternFill>
    </fill>
    <fill>
      <patternFill patternType="solid">
        <fgColor rgb="FF00B050"/>
        <bgColor indexed="64"/>
      </patternFill>
    </fill>
    <fill>
      <patternFill patternType="solid">
        <fgColor theme="8" tint="0.7999816888943144"/>
        <bgColor indexed="64"/>
      </patternFill>
    </fill>
    <fill>
      <patternFill patternType="solid">
        <fgColor theme="9" tint="0.5999938962981048"/>
        <bgColor indexed="64"/>
      </patternFill>
    </fill>
    <fill>
      <patternFill patternType="solid">
        <fgColor rgb="FFFF99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1" fillId="0" borderId="0"/>
    <xf numFmtId="9" fontId="1" fillId="0" borderId="0"/>
  </cellStyleXfs>
  <cellXfs count="70">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horizontal="center" vertical="center"/>
    </xf>
    <xf numFmtId="0" fontId="3" fillId="0" borderId="0" pivotButton="0" quotePrefix="0" xfId="0"/>
    <xf numFmtId="0" fontId="4" fillId="0" borderId="0" pivotButton="0" quotePrefix="0" xfId="0"/>
    <xf numFmtId="0" fontId="4" fillId="3" borderId="0" pivotButton="0" quotePrefix="0" xfId="0"/>
    <xf numFmtId="0" fontId="0" fillId="3" borderId="0" pivotButton="0" quotePrefix="0" xfId="0"/>
    <xf numFmtId="0" fontId="0" fillId="3" borderId="0" applyAlignment="1" pivotButton="0" quotePrefix="0" xfId="0">
      <alignment vertical="center"/>
    </xf>
    <xf numFmtId="0" fontId="4" fillId="0" borderId="0" applyAlignment="1" pivotButton="0" quotePrefix="0" xfId="0">
      <alignment vertical="center"/>
    </xf>
    <xf numFmtId="0" fontId="0" fillId="0" borderId="0" pivotButton="0" quotePrefix="0" xfId="0"/>
    <xf numFmtId="0" fontId="0" fillId="0" borderId="0" applyAlignment="1" pivotButton="0" quotePrefix="0" xfId="0">
      <alignment vertical="center"/>
    </xf>
    <xf numFmtId="0" fontId="2" fillId="0" borderId="0" pivotButton="0" quotePrefix="0" xfId="0"/>
    <xf numFmtId="0" fontId="0"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0" borderId="0" applyAlignment="1" pivotButton="0" quotePrefix="0" xfId="0">
      <alignment wrapText="1"/>
    </xf>
    <xf numFmtId="0" fontId="3" fillId="2" borderId="0" pivotButton="0" quotePrefix="0" xfId="0"/>
    <xf numFmtId="9" fontId="3" fillId="2" borderId="0" pivotButton="0" quotePrefix="0" xfId="1"/>
    <xf numFmtId="9" fontId="0" fillId="0" borderId="0" pivotButton="0" quotePrefix="0" xfId="0"/>
    <xf numFmtId="0" fontId="2" fillId="3" borderId="0" pivotButton="0" quotePrefix="0" xfId="0"/>
    <xf numFmtId="9" fontId="2" fillId="3" borderId="0" pivotButton="0" quotePrefix="0" xfId="1"/>
    <xf numFmtId="0" fontId="0" fillId="2" borderId="0" pivotButton="0" quotePrefix="0" xfId="0"/>
    <xf numFmtId="9" fontId="0" fillId="2" borderId="0" pivotButton="0" quotePrefix="0" xfId="1"/>
    <xf numFmtId="0" fontId="0" fillId="2" borderId="1" pivotButton="0" quotePrefix="0" xfId="0"/>
    <xf numFmtId="9" fontId="0" fillId="2" borderId="1" pivotButton="0" quotePrefix="0" xfId="1"/>
    <xf numFmtId="0" fontId="2" fillId="0" borderId="2" applyAlignment="1" pivotButton="0" quotePrefix="0" xfId="0">
      <alignment horizontal="center"/>
    </xf>
    <xf numFmtId="0" fontId="2" fillId="0" borderId="3" applyAlignment="1" pivotButton="0" quotePrefix="0" xfId="0">
      <alignment horizontal="center"/>
    </xf>
    <xf numFmtId="0" fontId="0" fillId="8" borderId="0" pivotButton="0" quotePrefix="0" xfId="0"/>
    <xf numFmtId="0" fontId="0" fillId="8" borderId="1" pivotButton="0" quotePrefix="0" xfId="0"/>
    <xf numFmtId="0" fontId="0" fillId="9" borderId="0" pivotButton="0" quotePrefix="0" xfId="0"/>
    <xf numFmtId="9" fontId="0" fillId="2" borderId="0" pivotButton="0" quotePrefix="0" xfId="0"/>
    <xf numFmtId="9" fontId="2" fillId="2" borderId="0" pivotButton="0" quotePrefix="0" xfId="1"/>
    <xf numFmtId="0" fontId="3" fillId="0" borderId="0" applyAlignment="1" pivotButton="0" quotePrefix="0" xfId="0">
      <alignment wrapText="1"/>
    </xf>
    <xf numFmtId="0" fontId="2" fillId="9" borderId="0" pivotButton="0" quotePrefix="0" xfId="0"/>
    <xf numFmtId="0" fontId="4" fillId="9" borderId="0" pivotButton="0" quotePrefix="0" xfId="0"/>
    <xf numFmtId="0" fontId="0" fillId="2" borderId="0" pivotButton="0" quotePrefix="0" xfId="1"/>
    <xf numFmtId="0" fontId="2" fillId="9" borderId="1" pivotButton="0" quotePrefix="0" xfId="0"/>
    <xf numFmtId="0" fontId="0" fillId="0" borderId="1" pivotButton="0" quotePrefix="0" xfId="0"/>
    <xf numFmtId="0" fontId="0" fillId="2" borderId="1" pivotButton="0" quotePrefix="0" xfId="1"/>
    <xf numFmtId="0" fontId="2" fillId="0" borderId="1" pivotButton="0" quotePrefix="0" xfId="0"/>
    <xf numFmtId="0" fontId="0" fillId="3" borderId="1" pivotButton="0" quotePrefix="0" xfId="0"/>
    <xf numFmtId="0" fontId="2" fillId="0" borderId="0" applyAlignment="1" pivotButton="0" quotePrefix="0" xfId="0">
      <alignment horizontal="center"/>
    </xf>
    <xf numFmtId="9" fontId="2" fillId="2" borderId="1" pivotButton="0" quotePrefix="0" xfId="1"/>
    <xf numFmtId="0" fontId="2" fillId="2" borderId="1" pivotButton="0" quotePrefix="0" xfId="0"/>
    <xf numFmtId="9" fontId="0" fillId="0" borderId="0" pivotButton="0" quotePrefix="0" xfId="1"/>
    <xf numFmtId="0" fontId="2" fillId="10" borderId="1" pivotButton="0" quotePrefix="0" xfId="0"/>
    <xf numFmtId="9" fontId="2" fillId="10" borderId="1" pivotButton="0" quotePrefix="0" xfId="1"/>
    <xf numFmtId="9" fontId="2" fillId="0" borderId="3" applyAlignment="1" pivotButton="0" quotePrefix="0" xfId="1">
      <alignment horizontal="center"/>
    </xf>
    <xf numFmtId="9" fontId="2" fillId="0" borderId="0" applyAlignment="1" pivotButton="0" quotePrefix="0" xfId="1">
      <alignment horizontal="center"/>
    </xf>
    <xf numFmtId="9" fontId="2" fillId="0" borderId="0" applyAlignment="1" pivotButton="0" quotePrefix="0" xfId="1">
      <alignment horizontal="center" vertical="center"/>
    </xf>
    <xf numFmtId="2" fontId="0" fillId="0" borderId="1" pivotButton="0" quotePrefix="0" xfId="1"/>
    <xf numFmtId="2" fontId="0" fillId="0" borderId="1" pivotButton="0" quotePrefix="0" xfId="0"/>
    <xf numFmtId="1" fontId="0" fillId="8" borderId="1" pivotButton="0" quotePrefix="0" xfId="1"/>
    <xf numFmtId="1" fontId="0" fillId="0" borderId="1" pivotButton="0" quotePrefix="0" xfId="0"/>
    <xf numFmtId="1" fontId="0" fillId="0" borderId="1" pivotButton="0" quotePrefix="0" xfId="1"/>
    <xf numFmtId="0" fontId="0" fillId="0" borderId="4" applyAlignment="1" pivotButton="0" quotePrefix="0" xfId="0">
      <alignment horizontal="center"/>
    </xf>
    <xf numFmtId="0" fontId="0" fillId="0" borderId="5" applyAlignment="1" pivotButton="0" quotePrefix="0" xfId="0">
      <alignment horizontal="center"/>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center" wrapText="1"/>
    </xf>
    <xf numFmtId="0" fontId="0" fillId="0" borderId="1" applyAlignment="1" pivotButton="0" quotePrefix="0" xfId="0">
      <alignment wrapText="1"/>
    </xf>
    <xf numFmtId="0" fontId="7" fillId="0" borderId="1" applyAlignment="1" pivotButton="0" quotePrefix="0" xfId="0">
      <alignment horizontal="center"/>
    </xf>
    <xf numFmtId="0" fontId="7" fillId="0" borderId="1" applyAlignment="1" pivotButton="0" quotePrefix="0" xfId="0">
      <alignment wrapText="1"/>
    </xf>
    <xf numFmtId="0" fontId="7" fillId="0" borderId="1" applyAlignment="1" pivotButton="0" quotePrefix="0" xfId="0">
      <alignment horizontal="center" wrapText="1"/>
    </xf>
    <xf numFmtId="0" fontId="0" fillId="10" borderId="0" applyAlignment="1" pivotButton="0" quotePrefix="0" xfId="0">
      <alignment horizontal="center"/>
    </xf>
    <xf numFmtId="0" fontId="0" fillId="8" borderId="0" applyAlignment="1" pivotButton="0" quotePrefix="0" xfId="0">
      <alignment wrapText="1"/>
    </xf>
    <xf numFmtId="0" fontId="0" fillId="0" borderId="0" applyAlignment="1" pivotButton="0" quotePrefix="0" xfId="0">
      <alignment horizontal="center"/>
    </xf>
    <xf numFmtId="0" fontId="0" fillId="0" borderId="0" applyAlignment="1" pivotButton="0" quotePrefix="0" xfId="0">
      <alignment horizontal="center"/>
    </xf>
  </cellXfs>
  <cellStyles count="2">
    <cellStyle name="Normal" xfId="0" builtinId="0"/>
    <cellStyle name="Percent" xfId="1" builtinId="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Carr, Dana</author>
  </authors>
  <commentList>
    <comment ref="B56" authorId="0" shapeId="0">
      <text>
        <t xml:space="preserve">Carr, Dana:
Assuming student pop stays stable
</t>
      </text>
    </comment>
    <comment ref="B57" authorId="0" shapeId="0">
      <text>
        <t xml:space="preserve">Carr, Dana:
Assuming student pop stays stable
</t>
      </text>
    </comment>
  </commentList>
</comments>
</file>

<file path=xl/comments/comment2.xml><?xml version="1.0" encoding="utf-8"?>
<comments xmlns="http://schemas.openxmlformats.org/spreadsheetml/2006/main">
  <authors>
    <author>Carr, Dana</author>
  </authors>
  <commentList>
    <comment ref="A20" authorId="0" shapeId="0">
      <text>
        <t xml:space="preserve">Carr, Dana:
Assuming student pop stays stable
</t>
      </text>
    </comment>
    <comment ref="A21" authorId="0" shapeId="0">
      <text>
        <t xml:space="preserve">Carr, Dana:
Assuming student pop stays stable
</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6" sqref="A6"/>
    </sheetView>
  </sheetViews>
  <sheetFormatPr baseColWidth="8" defaultRowHeight="14.5"/>
  <cols>
    <col width="104.1796875" customWidth="1" style="12" min="2" max="2"/>
  </cols>
  <sheetData>
    <row r="1">
      <c r="B1" s="67" t="inlineStr">
        <is>
          <t>Using the Template:</t>
        </is>
      </c>
    </row>
    <row r="2">
      <c r="A2" t="n">
        <v>1</v>
      </c>
      <c r="B2" s="17" t="inlineStr">
        <is>
          <t>Save this template onto your OneDrive or hard drive.</t>
        </is>
      </c>
    </row>
    <row r="3">
      <c r="A3" t="n">
        <v>2</v>
      </c>
      <c r="B3" s="17" t="inlineStr">
        <is>
          <t>Rename the file with your initials (i.e., Substantial Progress Workbook_MHSP_DSC).</t>
        </is>
      </c>
    </row>
    <row r="4" ht="29" customHeight="1" s="12">
      <c r="A4" t="n">
        <v>3</v>
      </c>
      <c r="B4" s="17" t="inlineStr">
        <is>
          <t>Select your grantees from the list on the "MHSP Grantees" or "SBMH Grantees" tab. You can delete or hide the ones that you do not monitor.</t>
        </is>
      </c>
    </row>
    <row r="5" ht="29" customHeight="1" s="12">
      <c r="A5" t="n">
        <v>4</v>
      </c>
      <c r="B5" s="17" t="inlineStr">
        <is>
          <t>Begin at the top of the list (or wherever you want) and rename the first tab with the PR Award Number of the grantee APR that you're reviewing. For example, rename the first tab S184H220000).</t>
        </is>
      </c>
    </row>
    <row r="6" ht="29" customHeight="1" s="12">
      <c r="A6" t="n">
        <v>5</v>
      </c>
      <c r="B6" s="17" t="inlineStr">
        <is>
          <t xml:space="preserve">Before entering data into the tab, right click on the tab name. Select "move or copy" and copy the worksheet. This creates a duplicate sheet. </t>
        </is>
      </c>
    </row>
    <row r="7">
      <c r="A7" t="n">
        <v>6</v>
      </c>
      <c r="B7" s="17" t="inlineStr">
        <is>
          <t xml:space="preserve">Rename the duplicate sheet with the next PR Award number. </t>
        </is>
      </c>
    </row>
    <row r="8">
      <c r="A8" t="n">
        <v>7</v>
      </c>
      <c r="B8" s="17" t="inlineStr">
        <is>
          <t>Repeat this "move or copy" and renaming step for all of your grantees so they each have a worksheet.</t>
        </is>
      </c>
    </row>
    <row r="9" ht="29" customHeight="1" s="12">
      <c r="A9" t="n">
        <v>8</v>
      </c>
      <c r="B9" s="17" t="inlineStr">
        <is>
          <t>Using the definitions tab, review the APR and record the LETTER grades for the administrative factors in the blue boxes. The boxes that say "FALSE" should turn into a percentage when you enter the grade.</t>
        </is>
      </c>
    </row>
    <row r="10" ht="43.5" customHeight="1" s="12">
      <c r="A10" t="n">
        <v>9</v>
      </c>
      <c r="B10" s="17" t="inlineStr">
        <is>
          <t xml:space="preserve">For the GPRA measures, please enter a "1" in the blue box if the grantee meets the threshold for the year of review. Please enter "0" in the blue box if the grantee does not meet the expectation. This should tally into a percentage in the last row. </t>
        </is>
      </c>
    </row>
    <row r="11">
      <c r="A11" t="n">
        <v>10</v>
      </c>
      <c r="B11" s="17" t="inlineStr">
        <is>
          <t>When you have completed your review, you can go onto the next one.</t>
        </is>
      </c>
    </row>
    <row r="12">
      <c r="A12" t="n">
        <v>11</v>
      </c>
      <c r="B12" s="17" t="inlineStr">
        <is>
          <t>When you are completely done reviewing your grantees APRs, please share your worksheet to your supervisor for aggregation!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73"/>
  <sheetViews>
    <sheetView topLeftCell="A16" workbookViewId="0">
      <selection activeCell="B24" sqref="B24"/>
    </sheetView>
  </sheetViews>
  <sheetFormatPr baseColWidth="8" defaultRowHeight="14.5"/>
  <cols>
    <col width="14.453125" customWidth="1" style="12" min="1" max="1"/>
    <col width="88.1796875" customWidth="1" style="12" min="2" max="2"/>
  </cols>
  <sheetData>
    <row r="1">
      <c r="A1" t="inlineStr">
        <is>
          <t>ADMIN FACTORS</t>
        </is>
      </c>
    </row>
    <row r="2">
      <c r="B2" s="3" t="inlineStr">
        <is>
          <t>Financial, LAB &gt;70%</t>
        </is>
      </c>
    </row>
    <row r="3">
      <c r="A3" s="16" t="inlineStr">
        <is>
          <t>A</t>
        </is>
      </c>
      <c r="B3" t="inlineStr">
        <is>
          <t xml:space="preserve">No LAB OR LAB but funds are encumbered, just not drawn down because of accounting/fiscal </t>
        </is>
      </c>
    </row>
    <row r="4">
      <c r="A4" s="15" t="inlineStr">
        <is>
          <t>B</t>
        </is>
      </c>
      <c r="B4" t="inlineStr">
        <is>
          <t>Has LAB but making progress, no concerns, plans for funds</t>
        </is>
      </c>
    </row>
    <row r="5">
      <c r="A5" s="14" t="inlineStr">
        <is>
          <t>C</t>
        </is>
      </c>
      <c r="B5" t="inlineStr">
        <is>
          <t>Has LAB but w less clear explanation or plans, or still has LAB from previous project years</t>
        </is>
      </c>
    </row>
    <row r="6">
      <c r="A6" s="13" t="inlineStr">
        <is>
          <t>F</t>
        </is>
      </c>
      <c r="B6" t="inlineStr">
        <is>
          <t>Large LAB, no plans, large LABs from previous project years</t>
        </is>
      </c>
    </row>
    <row r="8">
      <c r="B8" s="3" t="inlineStr">
        <is>
          <t>Financial, Excessive Drawdowns</t>
        </is>
      </c>
    </row>
    <row r="9">
      <c r="A9" s="16" t="inlineStr">
        <is>
          <t>A</t>
        </is>
      </c>
      <c r="B9" t="inlineStr">
        <is>
          <t>No ED</t>
        </is>
      </c>
    </row>
    <row r="10">
      <c r="A10" s="15" t="inlineStr">
        <is>
          <t>B</t>
        </is>
      </c>
      <c r="B10" t="inlineStr">
        <is>
          <t>Explained and paid back, no concerns</t>
        </is>
      </c>
    </row>
    <row r="11">
      <c r="A11" s="14" t="inlineStr">
        <is>
          <t>C</t>
        </is>
      </c>
      <c r="B11" t="inlineStr">
        <is>
          <t>Once, not paid back in timely fashion</t>
        </is>
      </c>
    </row>
    <row r="12">
      <c r="A12" s="13" t="inlineStr">
        <is>
          <t>F</t>
        </is>
      </c>
      <c r="B12" t="inlineStr">
        <is>
          <t>More than once, all funds or large amount, not paid back timely</t>
        </is>
      </c>
    </row>
    <row r="14">
      <c r="B14" s="3" t="inlineStr">
        <is>
          <t>Performance, PD changes or staffing turnover</t>
        </is>
      </c>
    </row>
    <row r="15">
      <c r="A15" s="16" t="inlineStr">
        <is>
          <t>A</t>
        </is>
      </c>
      <c r="B15" s="17" t="inlineStr">
        <is>
          <t>No PD changes or normal shifting of staff as project starts or proceeds</t>
        </is>
      </c>
    </row>
    <row r="16">
      <c r="A16" s="15" t="inlineStr">
        <is>
          <t>B</t>
        </is>
      </c>
      <c r="B16" t="inlineStr">
        <is>
          <t>Unclear staffing or some concern</t>
        </is>
      </c>
    </row>
    <row r="17">
      <c r="A17" s="14" t="inlineStr">
        <is>
          <t>C</t>
        </is>
      </c>
      <c r="B17" t="inlineStr">
        <is>
          <t>More than 1 PD or staff turnover</t>
        </is>
      </c>
    </row>
    <row r="18">
      <c r="A18" s="13" t="inlineStr">
        <is>
          <t>F</t>
        </is>
      </c>
      <c r="B18" t="inlineStr">
        <is>
          <t>High, more than 2 PDs</t>
        </is>
      </c>
    </row>
    <row r="20">
      <c r="B20" s="3" t="inlineStr">
        <is>
          <t>Performance, other</t>
        </is>
      </c>
    </row>
    <row r="21">
      <c r="A21" s="16" t="inlineStr">
        <is>
          <t>A</t>
        </is>
      </c>
      <c r="B21" t="inlineStr">
        <is>
          <t>No concerns, all components are included or quickly provided</t>
        </is>
      </c>
    </row>
    <row r="22" ht="43.5" customHeight="1" s="12">
      <c r="A22" s="15" t="inlineStr">
        <is>
          <t>B</t>
        </is>
      </c>
      <c r="B22" s="17" t="inlineStr">
        <is>
          <t>Some questions about performance or pace of project, lack of clarity on or concern about at least one aspect of performance, one component of APR missing (please specify issues of concern in Notes column, including missing elements from APR)</t>
        </is>
      </c>
    </row>
    <row r="23" ht="58" customHeight="1" s="12">
      <c r="A23" s="14" t="inlineStr">
        <is>
          <t>C</t>
        </is>
      </c>
      <c r="B23" s="17" t="inlineStr">
        <is>
          <t>Inconsistent contact/response time, frequent changes to plan, late reports, unclear partnerships, lack of clarity on or concern about a few aspects of performance but they are making progress, more than one component of APR missing  (please specify issues of concern in Notes column, including missing elements from APR)</t>
        </is>
      </c>
    </row>
    <row r="24" ht="58" customHeight="1" s="12">
      <c r="A24" s="13" t="inlineStr">
        <is>
          <t>F</t>
        </is>
      </c>
      <c r="B24" s="17" t="inlineStr">
        <is>
          <t>Grantee is unresponsive or slow to respond, late APR or IPR, frequent changes to plan, goals are unclear, unable to identify partners or challenges with partners, adding new partners, APR missing or submitted late or significant pieces are not included  (please specify issues of concern in Notes column, including missing elements from APR)</t>
        </is>
      </c>
    </row>
    <row r="26">
      <c r="B26" s="34" t="inlineStr">
        <is>
          <t>Internal controls (could include financial adjustments, lack of drawdowns)</t>
        </is>
      </c>
    </row>
    <row r="27">
      <c r="A27" s="16" t="inlineStr">
        <is>
          <t>A</t>
        </is>
      </c>
      <c r="B27" t="inlineStr">
        <is>
          <t>No concerns</t>
        </is>
      </c>
    </row>
    <row r="28">
      <c r="A28" s="15" t="inlineStr">
        <is>
          <t>B</t>
        </is>
      </c>
      <c r="B28" t="inlineStr">
        <is>
          <t>Minimal concerns noted but not impeding progress</t>
        </is>
      </c>
    </row>
    <row r="29">
      <c r="A29" s="14" t="inlineStr">
        <is>
          <t>C</t>
        </is>
      </c>
      <c r="B29" t="inlineStr">
        <is>
          <t>Questionable internal controls</t>
        </is>
      </c>
    </row>
    <row r="30">
      <c r="A30" s="13" t="inlineStr">
        <is>
          <t>F</t>
        </is>
      </c>
      <c r="B30" s="17" t="inlineStr">
        <is>
          <t>Seeming lack of internal controls (questionable PD, financial management, no AR, etc)</t>
        </is>
      </c>
    </row>
    <row r="32">
      <c r="B32" t="inlineStr">
        <is>
          <t>Conditions</t>
        </is>
      </c>
    </row>
    <row r="33">
      <c r="A33" s="16" t="inlineStr">
        <is>
          <t>A</t>
        </is>
      </c>
      <c r="B33" t="inlineStr">
        <is>
          <t>Conditions met/no conditions</t>
        </is>
      </c>
    </row>
    <row r="34">
      <c r="A34" s="15" t="inlineStr">
        <is>
          <t>B</t>
        </is>
      </c>
      <c r="B34" t="inlineStr">
        <is>
          <t>Conditions met/no conditions</t>
        </is>
      </c>
    </row>
    <row r="35">
      <c r="A35" s="14" t="inlineStr">
        <is>
          <t>C</t>
        </is>
      </c>
      <c r="B35" t="inlineStr">
        <is>
          <t>Conditions not met but working towards</t>
        </is>
      </c>
    </row>
    <row r="36">
      <c r="A36" s="13" t="inlineStr">
        <is>
          <t>F</t>
        </is>
      </c>
      <c r="B36" t="inlineStr">
        <is>
          <t>Conditions not met in timely fashion</t>
        </is>
      </c>
    </row>
    <row r="39">
      <c r="A39" s="11" t="inlineStr">
        <is>
          <t>GPRA MEASURES</t>
        </is>
      </c>
    </row>
    <row r="40">
      <c r="A40" t="inlineStr">
        <is>
          <t>1= YES</t>
        </is>
      </c>
      <c r="B40" s="5" t="inlineStr">
        <is>
          <t>GPRA 1: HIRED</t>
        </is>
      </c>
    </row>
    <row r="41">
      <c r="A41" t="inlineStr">
        <is>
          <t>0= NO</t>
        </is>
      </c>
      <c r="B41" s="6" t="inlineStr">
        <is>
          <t>Y1: 20-25% of target</t>
        </is>
      </c>
    </row>
    <row r="42">
      <c r="B42" s="7" t="inlineStr">
        <is>
          <t>Y2: 25-50% of target</t>
        </is>
      </c>
    </row>
    <row r="43">
      <c r="B43" s="7" t="inlineStr">
        <is>
          <t>Y3: 50-70% of target</t>
        </is>
      </c>
    </row>
    <row r="44">
      <c r="B44" s="7" t="inlineStr">
        <is>
          <t>Y4: 70-90% of target</t>
        </is>
      </c>
    </row>
    <row r="45">
      <c r="B45" s="7" t="inlineStr">
        <is>
          <t>Y5: 90-100% of target</t>
        </is>
      </c>
    </row>
    <row r="47">
      <c r="B47" s="8" t="inlineStr">
        <is>
          <t xml:space="preserve"> GPRA 2: Retained</t>
        </is>
      </c>
    </row>
    <row r="48">
      <c r="B48" t="inlineStr">
        <is>
          <t>Y1: 20-25% of target</t>
        </is>
      </c>
    </row>
    <row r="49">
      <c r="B49" s="10" t="inlineStr">
        <is>
          <t>Y2: 25-50% of target</t>
        </is>
      </c>
    </row>
    <row r="50">
      <c r="B50" s="10" t="inlineStr">
        <is>
          <t>Y3: 50-70% of target</t>
        </is>
      </c>
    </row>
    <row r="51">
      <c r="B51" s="10" t="inlineStr">
        <is>
          <t>Y4: 70-90% of target</t>
        </is>
      </c>
    </row>
    <row r="52">
      <c r="B52" s="10" t="inlineStr">
        <is>
          <t>Y5: 90-100% of target</t>
        </is>
      </c>
    </row>
    <row r="54">
      <c r="B54" s="8" t="inlineStr">
        <is>
          <t>GPRA 3: Ratio</t>
        </is>
      </c>
    </row>
    <row r="55">
      <c r="B55" s="10" t="inlineStr">
        <is>
          <t>Y1: Ratio is improving</t>
        </is>
      </c>
    </row>
    <row r="56">
      <c r="B56" s="10" t="inlineStr">
        <is>
          <t>Y2: Ratio improved or stable</t>
        </is>
      </c>
    </row>
    <row r="57">
      <c r="B57" s="10" t="inlineStr">
        <is>
          <t>Y3: Ratio improved or stable</t>
        </is>
      </c>
    </row>
    <row r="58">
      <c r="B58" s="10" t="inlineStr">
        <is>
          <t>Y4: Ratio improved or stable</t>
        </is>
      </c>
    </row>
    <row r="59">
      <c r="B59" s="10" t="inlineStr">
        <is>
          <t>Y5: Ratio improved or stable</t>
        </is>
      </c>
    </row>
    <row r="61">
      <c r="B61" s="4" t="inlineStr">
        <is>
          <t>GPRA 4: Attrition</t>
        </is>
      </c>
    </row>
    <row r="62">
      <c r="B62" t="inlineStr">
        <is>
          <t>Y1: 10% of target</t>
        </is>
      </c>
    </row>
    <row r="63">
      <c r="B63" t="inlineStr">
        <is>
          <t>Y2: 11-25% of target</t>
        </is>
      </c>
    </row>
    <row r="64">
      <c r="B64" t="inlineStr">
        <is>
          <t>Y3: 26-50% of target</t>
        </is>
      </c>
    </row>
    <row r="65">
      <c r="B65" t="inlineStr">
        <is>
          <t>Y4: 51-75% of target</t>
        </is>
      </c>
    </row>
    <row r="66">
      <c r="B66" t="inlineStr">
        <is>
          <t>Y5: 76-100% of target</t>
        </is>
      </c>
    </row>
    <row r="68">
      <c r="B68" s="4" t="inlineStr">
        <is>
          <t>GPRA 5: Students Served</t>
        </is>
      </c>
    </row>
    <row r="69">
      <c r="B69" t="inlineStr">
        <is>
          <t>Y1: Serving students</t>
        </is>
      </c>
    </row>
    <row r="70">
      <c r="B70" t="inlineStr">
        <is>
          <t>Y2: Number increased or stable</t>
        </is>
      </c>
    </row>
    <row r="71">
      <c r="B71" t="inlineStr">
        <is>
          <t>Y3: Number increased or stable</t>
        </is>
      </c>
    </row>
    <row r="72">
      <c r="B72" t="inlineStr">
        <is>
          <t>Y4: Number increased or stable</t>
        </is>
      </c>
    </row>
    <row r="73">
      <c r="B73" t="inlineStr">
        <is>
          <t>Y5: Number increased or stable</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05"/>
  <sheetViews>
    <sheetView workbookViewId="0">
      <selection activeCell="A2" sqref="A2"/>
    </sheetView>
  </sheetViews>
  <sheetFormatPr baseColWidth="8" defaultRowHeight="14.5"/>
  <cols>
    <col width="18.54296875" customWidth="1" style="12" min="1" max="1"/>
    <col width="51.81640625" bestFit="1" customWidth="1" style="12" min="2" max="2"/>
  </cols>
  <sheetData>
    <row r="1">
      <c r="A1" s="59" t="n"/>
      <c r="B1" s="59" t="n"/>
      <c r="D1" s="66" t="inlineStr">
        <is>
          <t>Y1</t>
        </is>
      </c>
      <c r="E1" s="66" t="inlineStr">
        <is>
          <t>Y2</t>
        </is>
      </c>
      <c r="F1" s="66" t="inlineStr">
        <is>
          <t>Y3</t>
        </is>
      </c>
      <c r="G1" s="66" t="inlineStr">
        <is>
          <t>Y4</t>
        </is>
      </c>
      <c r="H1" s="66" t="inlineStr">
        <is>
          <t>Y5</t>
        </is>
      </c>
    </row>
    <row r="2">
      <c r="A2" s="59" t="inlineStr">
        <is>
          <t>S184H220021</t>
        </is>
      </c>
      <c r="B2" s="59" t="inlineStr">
        <is>
          <t>Northfield State Department of Education</t>
        </is>
      </c>
      <c r="C2" s="57" t="inlineStr">
        <is>
          <t>OK</t>
        </is>
      </c>
    </row>
    <row r="3">
      <c r="A3" s="59" t="inlineStr">
        <is>
          <t>S184H220197</t>
        </is>
      </c>
      <c r="B3" s="59" t="inlineStr">
        <is>
          <t>Lakewood Unified School District</t>
        </is>
      </c>
      <c r="C3" s="57" t="inlineStr">
        <is>
          <t>IN</t>
        </is>
      </c>
      <c r="E3" t="n">
        <v>33</v>
      </c>
    </row>
    <row r="4">
      <c r="A4" s="59" t="inlineStr">
        <is>
          <t>S184H220199</t>
        </is>
      </c>
      <c r="B4" s="59" t="inlineStr">
        <is>
          <t>Riverside City Schools</t>
        </is>
      </c>
      <c r="C4" s="57" t="inlineStr">
        <is>
          <t>ME</t>
        </is>
      </c>
    </row>
    <row r="5">
      <c r="A5" s="59" t="inlineStr">
        <is>
          <t>S184H220041</t>
        </is>
      </c>
      <c r="B5" s="59" t="inlineStr">
        <is>
          <t>Clearwater County Schools</t>
        </is>
      </c>
      <c r="C5" s="57" t="inlineStr">
        <is>
          <t>NJ</t>
        </is>
      </c>
    </row>
    <row r="6">
      <c r="A6" s="59" t="inlineStr">
        <is>
          <t>S184H220067</t>
        </is>
      </c>
      <c r="B6" s="59" t="inlineStr">
        <is>
          <t>Summit Hills School District</t>
        </is>
      </c>
      <c r="C6" s="57" t="inlineStr">
        <is>
          <t>IL</t>
        </is>
      </c>
    </row>
    <row r="7">
      <c r="A7" s="59" t="inlineStr">
        <is>
          <t>S184H220138</t>
        </is>
      </c>
      <c r="B7" s="59" t="inlineStr">
        <is>
          <t>Maplewood Joint Unified School District</t>
        </is>
      </c>
      <c r="C7" s="57" t="inlineStr">
        <is>
          <t>DC</t>
        </is>
      </c>
    </row>
    <row r="8">
      <c r="A8" s="59" t="inlineStr">
        <is>
          <t>S184H220259</t>
        </is>
      </c>
      <c r="B8" s="59" t="inlineStr">
        <is>
          <t>Brookfield City Schools</t>
        </is>
      </c>
      <c r="C8" s="57" t="inlineStr">
        <is>
          <t>NC</t>
        </is>
      </c>
    </row>
    <row r="9">
      <c r="A9" s="59" t="inlineStr">
        <is>
          <t>S184H220120</t>
        </is>
      </c>
      <c r="B9" s="59" t="inlineStr">
        <is>
          <t>Crestview County School District</t>
        </is>
      </c>
      <c r="C9" s="57" t="inlineStr">
        <is>
          <t>RI</t>
        </is>
      </c>
    </row>
    <row r="10">
      <c r="A10" s="59" t="inlineStr">
        <is>
          <t>S184H220101</t>
        </is>
      </c>
      <c r="B10" s="59" t="inlineStr">
        <is>
          <t>Pinehurst Independent School District</t>
        </is>
      </c>
      <c r="C10" s="58" t="inlineStr">
        <is>
          <t>VA</t>
        </is>
      </c>
    </row>
    <row r="11">
      <c r="A11" s="59" t="inlineStr">
        <is>
          <t>S184H220184</t>
        </is>
      </c>
      <c r="B11" s="59" t="inlineStr">
        <is>
          <t>Elmwood State Department of Education</t>
        </is>
      </c>
      <c r="C11" s="58" t="inlineStr">
        <is>
          <t>TN</t>
        </is>
      </c>
    </row>
    <row r="12">
      <c r="A12" s="59" t="inlineStr">
        <is>
          <t>S184H220074</t>
        </is>
      </c>
      <c r="B12" s="59" t="inlineStr">
        <is>
          <t>Fairview Unified School District</t>
        </is>
      </c>
      <c r="C12" s="60" t="inlineStr">
        <is>
          <t>WA</t>
        </is>
      </c>
    </row>
    <row r="13">
      <c r="A13" s="59" t="inlineStr">
        <is>
          <t>S184H220237</t>
        </is>
      </c>
      <c r="B13" s="59" t="inlineStr">
        <is>
          <t>Greenfield Community School District</t>
        </is>
      </c>
      <c r="C13" s="60" t="inlineStr">
        <is>
          <t>CA</t>
        </is>
      </c>
    </row>
    <row r="14">
      <c r="A14" s="59" t="inlineStr">
        <is>
          <t>S184H220028</t>
        </is>
      </c>
      <c r="B14" s="59" t="inlineStr">
        <is>
          <t>Hillside County Schools</t>
        </is>
      </c>
      <c r="C14" s="60" t="inlineStr">
        <is>
          <t>KY</t>
        </is>
      </c>
    </row>
    <row r="15">
      <c r="A15" s="59" t="inlineStr">
        <is>
          <t>S184H220045</t>
        </is>
      </c>
      <c r="B15" s="59" t="inlineStr">
        <is>
          <t>Ironwood Public Schools</t>
        </is>
      </c>
      <c r="C15" s="60" t="inlineStr">
        <is>
          <t>TN</t>
        </is>
      </c>
    </row>
    <row r="16">
      <c r="A16" s="59" t="inlineStr">
        <is>
          <t>S184H220135</t>
        </is>
      </c>
      <c r="B16" s="59" t="inlineStr">
        <is>
          <t>Juniper Valley School District</t>
        </is>
      </c>
      <c r="C16" s="60" t="inlineStr">
        <is>
          <t>GA</t>
        </is>
      </c>
    </row>
    <row r="17">
      <c r="A17" s="59" t="inlineStr">
        <is>
          <t>S184H220169</t>
        </is>
      </c>
      <c r="B17" s="59" t="inlineStr">
        <is>
          <t>Kingsview Unified School District</t>
        </is>
      </c>
      <c r="C17" s="60" t="inlineStr">
        <is>
          <t>OR</t>
        </is>
      </c>
    </row>
    <row r="18">
      <c r="A18" s="59" t="inlineStr">
        <is>
          <t>S184H220174</t>
        </is>
      </c>
      <c r="B18" s="59" t="inlineStr">
        <is>
          <t>Lakeshore City Schools</t>
        </is>
      </c>
      <c r="C18" s="60" t="inlineStr">
        <is>
          <t>FL</t>
        </is>
      </c>
    </row>
    <row r="19">
      <c r="A19" s="59" t="inlineStr">
        <is>
          <t>S184H220170</t>
        </is>
      </c>
      <c r="B19" s="59" t="inlineStr">
        <is>
          <t>Millbrook County School District</t>
        </is>
      </c>
      <c r="C19" s="60" t="inlineStr">
        <is>
          <t>CA</t>
        </is>
      </c>
    </row>
    <row r="20">
      <c r="A20" s="59" t="inlineStr">
        <is>
          <t>S184H220212</t>
        </is>
      </c>
      <c r="B20" s="59" t="inlineStr">
        <is>
          <t>Newfield Independent School District</t>
        </is>
      </c>
      <c r="C20" s="60" t="inlineStr">
        <is>
          <t>FL</t>
        </is>
      </c>
    </row>
    <row r="21">
      <c r="A21" s="59" t="inlineStr">
        <is>
          <t>S184H220173</t>
        </is>
      </c>
      <c r="B21" s="59" t="inlineStr">
        <is>
          <t>Oakridge Unified School District</t>
        </is>
      </c>
      <c r="C21" s="60" t="inlineStr">
        <is>
          <t>MI</t>
        </is>
      </c>
    </row>
    <row r="22">
      <c r="A22" s="59" t="inlineStr">
        <is>
          <t>S184H220226</t>
        </is>
      </c>
      <c r="B22" s="59" t="inlineStr">
        <is>
          <t>Parkview City Schools</t>
        </is>
      </c>
      <c r="C22" s="60" t="inlineStr">
        <is>
          <t>CA</t>
        </is>
      </c>
    </row>
    <row r="23">
      <c r="A23" s="59" t="inlineStr">
        <is>
          <t>S184H220030</t>
        </is>
      </c>
      <c r="B23" s="59" t="inlineStr">
        <is>
          <t>Queensdale County School District</t>
        </is>
      </c>
      <c r="C23" s="60" t="inlineStr">
        <is>
          <t>KY</t>
        </is>
      </c>
    </row>
    <row r="24">
      <c r="A24" s="59" t="inlineStr">
        <is>
          <t>S184H220042</t>
        </is>
      </c>
      <c r="B24" s="62" t="inlineStr">
        <is>
          <t>Redwood Joint Unified School District</t>
        </is>
      </c>
      <c r="C24" s="61" t="inlineStr">
        <is>
          <t>CA</t>
        </is>
      </c>
    </row>
    <row r="25">
      <c r="A25" s="59" t="inlineStr">
        <is>
          <t>S184H220053</t>
        </is>
      </c>
      <c r="B25" s="64" t="inlineStr">
        <is>
          <t>Stonefield Public Schools</t>
        </is>
      </c>
      <c r="C25" s="65" t="inlineStr">
        <is>
          <t>KY</t>
        </is>
      </c>
    </row>
    <row r="26">
      <c r="A26" s="59" t="inlineStr">
        <is>
          <t>S184H220086</t>
        </is>
      </c>
      <c r="B26" s="64" t="inlineStr">
        <is>
          <t>Timberline School District</t>
        </is>
      </c>
      <c r="C26" s="63" t="inlineStr">
        <is>
          <t>NJ</t>
        </is>
      </c>
    </row>
    <row r="27">
      <c r="A27" s="59" t="inlineStr">
        <is>
          <t>S184H220099</t>
        </is>
      </c>
      <c r="B27" s="64" t="inlineStr">
        <is>
          <t>Upland Unified School District</t>
        </is>
      </c>
      <c r="C27" s="63" t="inlineStr">
        <is>
          <t>MS</t>
        </is>
      </c>
    </row>
    <row r="28">
      <c r="A28" s="59" t="inlineStr">
        <is>
          <t>S184H220265</t>
        </is>
      </c>
      <c r="B28" s="64" t="inlineStr">
        <is>
          <t>Valley City School District</t>
        </is>
      </c>
      <c r="C28" s="63" t="inlineStr">
        <is>
          <t>CA</t>
        </is>
      </c>
    </row>
    <row r="29">
      <c r="A29" s="59" t="inlineStr">
        <is>
          <t>S184H220048</t>
        </is>
      </c>
      <c r="B29" s="64" t="inlineStr">
        <is>
          <t>Westfield County Schools</t>
        </is>
      </c>
      <c r="C29" s="65" t="inlineStr">
        <is>
          <t>FL</t>
        </is>
      </c>
    </row>
    <row r="30">
      <c r="A30" s="59" t="inlineStr">
        <is>
          <t>S184H220133</t>
        </is>
      </c>
      <c r="B30" s="64" t="inlineStr">
        <is>
          <t>Xenith Independent School District</t>
        </is>
      </c>
      <c r="C30" s="63" t="inlineStr">
        <is>
          <t>AK</t>
        </is>
      </c>
    </row>
    <row r="31">
      <c r="A31" s="59" t="inlineStr">
        <is>
          <t>S184H220194</t>
        </is>
      </c>
      <c r="B31" s="64" t="inlineStr">
        <is>
          <t>Yarmouth Unified School District</t>
        </is>
      </c>
      <c r="C31" s="63" t="inlineStr">
        <is>
          <t>NE</t>
        </is>
      </c>
    </row>
    <row r="32">
      <c r="A32" s="59" t="inlineStr">
        <is>
          <t>S184H220228</t>
        </is>
      </c>
      <c r="B32" s="64" t="inlineStr">
        <is>
          <t>Zephyr City Schools</t>
        </is>
      </c>
      <c r="C32" s="63" t="inlineStr">
        <is>
          <t>MN</t>
        </is>
      </c>
    </row>
    <row r="33">
      <c r="A33" s="59" t="inlineStr">
        <is>
          <t>S184H220080</t>
        </is>
      </c>
      <c r="B33" s="64" t="inlineStr">
        <is>
          <t>Ashford Public Schools</t>
        </is>
      </c>
      <c r="C33" s="63" t="inlineStr">
        <is>
          <t>TX</t>
        </is>
      </c>
    </row>
    <row r="34">
      <c r="A34" s="59" t="inlineStr">
        <is>
          <t>S184H220016</t>
        </is>
      </c>
      <c r="B34" s="64" t="inlineStr">
        <is>
          <t>Bayside Unified School District</t>
        </is>
      </c>
      <c r="C34" s="65" t="inlineStr">
        <is>
          <t>NC</t>
        </is>
      </c>
    </row>
    <row r="35">
      <c r="A35" s="59" t="inlineStr">
        <is>
          <t>S184H220038</t>
        </is>
      </c>
      <c r="B35" s="64" t="inlineStr">
        <is>
          <t>Cedarwood County School District</t>
        </is>
      </c>
      <c r="C35" s="65" t="inlineStr">
        <is>
          <t>NY</t>
        </is>
      </c>
    </row>
    <row r="36">
      <c r="A36" s="59" t="inlineStr">
        <is>
          <t>S184H220066</t>
        </is>
      </c>
      <c r="B36" s="64" t="inlineStr">
        <is>
          <t>Dunmore City Schools</t>
        </is>
      </c>
      <c r="C36" s="63" t="inlineStr">
        <is>
          <t>CA</t>
        </is>
      </c>
    </row>
    <row r="37">
      <c r="A37" s="59" t="inlineStr">
        <is>
          <t>S184H220147</t>
        </is>
      </c>
      <c r="B37" s="64" t="inlineStr">
        <is>
          <t>Eastfield Unified School District</t>
        </is>
      </c>
      <c r="C37" s="63" t="inlineStr">
        <is>
          <t>FL</t>
        </is>
      </c>
    </row>
    <row r="38">
      <c r="A38" s="59" t="inlineStr">
        <is>
          <t>S184H220231</t>
        </is>
      </c>
      <c r="B38" s="64" t="inlineStr">
        <is>
          <t>Foxhill Public Schools</t>
        </is>
      </c>
      <c r="C38" s="63" t="inlineStr">
        <is>
          <t>AK</t>
        </is>
      </c>
    </row>
    <row r="39">
      <c r="A39" s="59" t="inlineStr">
        <is>
          <t>S184H220059</t>
        </is>
      </c>
      <c r="B39" s="64" t="inlineStr">
        <is>
          <t>Glenview County School District</t>
        </is>
      </c>
      <c r="C39" s="63" t="inlineStr">
        <is>
          <t>TX</t>
        </is>
      </c>
    </row>
    <row r="40">
      <c r="A40" s="59" t="inlineStr">
        <is>
          <t>S184H220264</t>
        </is>
      </c>
      <c r="B40" s="64" t="inlineStr">
        <is>
          <t>Harborview City Schools</t>
        </is>
      </c>
      <c r="C40" s="63" t="inlineStr">
        <is>
          <t>IN</t>
        </is>
      </c>
    </row>
    <row r="41">
      <c r="A41" s="59" t="inlineStr">
        <is>
          <t>S184H220163</t>
        </is>
      </c>
      <c r="B41" s="64" t="inlineStr">
        <is>
          <t>Ivywood Unified School District</t>
        </is>
      </c>
      <c r="C41" s="63" t="inlineStr">
        <is>
          <t>NE</t>
        </is>
      </c>
    </row>
    <row r="42">
      <c r="A42" s="59" t="inlineStr">
        <is>
          <t>S184H220225</t>
        </is>
      </c>
      <c r="B42" s="64" t="inlineStr">
        <is>
          <t>Jasper County Schools</t>
        </is>
      </c>
      <c r="C42" s="63" t="inlineStr">
        <is>
          <t>AK</t>
        </is>
      </c>
    </row>
    <row r="43">
      <c r="A43" s="59" t="inlineStr">
        <is>
          <t>S184H220245</t>
        </is>
      </c>
      <c r="B43" s="64" t="inlineStr">
        <is>
          <t>Kenwood Public Schools</t>
        </is>
      </c>
      <c r="C43" s="63" t="inlineStr">
        <is>
          <t>NM</t>
        </is>
      </c>
    </row>
    <row r="44">
      <c r="A44" s="59" t="inlineStr">
        <is>
          <t>S184H220178</t>
        </is>
      </c>
      <c r="B44" s="64" t="inlineStr">
        <is>
          <t>Longview Unified School District</t>
        </is>
      </c>
      <c r="C44" s="63" t="inlineStr">
        <is>
          <t>ND</t>
        </is>
      </c>
    </row>
    <row r="45">
      <c r="A45" s="59" t="inlineStr">
        <is>
          <t>S184H220207</t>
        </is>
      </c>
      <c r="B45" s="64" t="inlineStr">
        <is>
          <t>Meadowfield City Schools</t>
        </is>
      </c>
      <c r="C45" s="63" t="inlineStr">
        <is>
          <t>CA</t>
        </is>
      </c>
    </row>
    <row r="46">
      <c r="A46" s="59" t="inlineStr">
        <is>
          <t>S184H220215</t>
        </is>
      </c>
      <c r="B46" s="64" t="inlineStr">
        <is>
          <t>Northgate County School District</t>
        </is>
      </c>
      <c r="C46" s="63" t="inlineStr">
        <is>
          <t>WA</t>
        </is>
      </c>
    </row>
    <row r="47">
      <c r="A47" s="59" t="inlineStr">
        <is>
          <t>S184H220256</t>
        </is>
      </c>
      <c r="B47" s="64" t="inlineStr">
        <is>
          <t>Overlook Public Schools</t>
        </is>
      </c>
      <c r="C47" s="63" t="inlineStr">
        <is>
          <t>TX</t>
        </is>
      </c>
    </row>
    <row r="48">
      <c r="A48" s="59" t="inlineStr">
        <is>
          <t>S184H220158</t>
        </is>
      </c>
      <c r="B48" s="64" t="inlineStr">
        <is>
          <t>Plainfield Unified School District</t>
        </is>
      </c>
      <c r="C48" s="63" t="inlineStr">
        <is>
          <t>MD</t>
        </is>
      </c>
    </row>
    <row r="49">
      <c r="A49" s="59" t="inlineStr">
        <is>
          <t>S184H220177</t>
        </is>
      </c>
      <c r="B49" s="64" t="inlineStr">
        <is>
          <t>Quarryhill City Schools</t>
        </is>
      </c>
      <c r="C49" s="63" t="inlineStr">
        <is>
          <t>OK</t>
        </is>
      </c>
    </row>
    <row r="50">
      <c r="A50" s="59" t="inlineStr">
        <is>
          <t>S184H220220</t>
        </is>
      </c>
      <c r="B50" s="64" t="inlineStr">
        <is>
          <t>Ravenwood County School District</t>
        </is>
      </c>
      <c r="C50" s="63" t="inlineStr">
        <is>
          <t>WI</t>
        </is>
      </c>
      <c r="E50" t="n">
        <v>74</v>
      </c>
    </row>
    <row r="51">
      <c r="A51" s="59" t="inlineStr">
        <is>
          <t>S184H220095</t>
        </is>
      </c>
      <c r="B51" s="64" t="inlineStr">
        <is>
          <t>Saltmarsh Public Schools</t>
        </is>
      </c>
      <c r="C51" s="63" t="inlineStr">
        <is>
          <t>NC</t>
        </is>
      </c>
    </row>
    <row r="52">
      <c r="A52" s="59" t="inlineStr">
        <is>
          <t>S184H220142</t>
        </is>
      </c>
      <c r="B52" s="64" t="inlineStr">
        <is>
          <t>Thornfield Unified School District</t>
        </is>
      </c>
      <c r="C52" s="63" t="inlineStr">
        <is>
          <t>CO</t>
        </is>
      </c>
    </row>
    <row r="53">
      <c r="A53" s="59" t="inlineStr">
        <is>
          <t>S184H220143</t>
        </is>
      </c>
      <c r="B53" s="64" t="inlineStr">
        <is>
          <t>Underhill City Schools</t>
        </is>
      </c>
      <c r="C53" s="63" t="inlineStr">
        <is>
          <t>MS</t>
        </is>
      </c>
    </row>
    <row r="54">
      <c r="A54" s="59" t="inlineStr">
        <is>
          <t>S184H220044</t>
        </is>
      </c>
      <c r="B54" s="64" t="inlineStr">
        <is>
          <t>Valewood County School District</t>
        </is>
      </c>
      <c r="C54" s="65" t="inlineStr">
        <is>
          <t>NY</t>
        </is>
      </c>
    </row>
    <row r="55">
      <c r="A55" s="59" t="inlineStr">
        <is>
          <t>S184H220088</t>
        </is>
      </c>
      <c r="B55" s="64" t="inlineStr">
        <is>
          <t>Whitmore Public Schools</t>
        </is>
      </c>
      <c r="C55" s="63" t="inlineStr">
        <is>
          <t>OK</t>
        </is>
      </c>
    </row>
    <row r="56">
      <c r="A56" s="59" t="inlineStr">
        <is>
          <t>S184H220149</t>
        </is>
      </c>
      <c r="B56" s="64" t="inlineStr">
        <is>
          <t>Foxgate Unified School District</t>
        </is>
      </c>
      <c r="C56" s="63" t="inlineStr">
        <is>
          <t>TN</t>
        </is>
      </c>
    </row>
    <row r="57">
      <c r="A57" s="59" t="inlineStr">
        <is>
          <t>S184H220111</t>
        </is>
      </c>
      <c r="B57" s="64" t="inlineStr">
        <is>
          <t>Coldwater City Schools</t>
        </is>
      </c>
      <c r="C57" s="63" t="inlineStr">
        <is>
          <t>OH</t>
        </is>
      </c>
    </row>
    <row r="58">
      <c r="A58" s="59" t="inlineStr">
        <is>
          <t>S184H220124</t>
        </is>
      </c>
      <c r="B58" s="64" t="inlineStr">
        <is>
          <t>Driftwood County School District</t>
        </is>
      </c>
      <c r="C58" s="63" t="inlineStr">
        <is>
          <t>CA</t>
        </is>
      </c>
    </row>
    <row r="59">
      <c r="A59" s="59" t="inlineStr">
        <is>
          <t>S184H220232</t>
        </is>
      </c>
      <c r="B59" s="64" t="inlineStr">
        <is>
          <t>Emberfield Public Schools</t>
        </is>
      </c>
      <c r="C59" s="63" t="inlineStr">
        <is>
          <t>IL</t>
        </is>
      </c>
    </row>
    <row r="60">
      <c r="A60" s="59" t="inlineStr">
        <is>
          <t>S184H220183</t>
        </is>
      </c>
      <c r="B60" s="64" t="inlineStr">
        <is>
          <t>Ferndale Unified School District</t>
        </is>
      </c>
      <c r="C60" s="63" t="inlineStr">
        <is>
          <t>CA</t>
        </is>
      </c>
    </row>
    <row r="61">
      <c r="A61" s="59" t="inlineStr">
        <is>
          <t>S184H220076</t>
        </is>
      </c>
      <c r="B61" s="64" t="inlineStr">
        <is>
          <t>Goldcrest City Schools</t>
        </is>
      </c>
      <c r="C61" s="63" t="inlineStr">
        <is>
          <t>IL</t>
        </is>
      </c>
    </row>
    <row r="62">
      <c r="A62" s="59" t="inlineStr">
        <is>
          <t>S184H220121</t>
        </is>
      </c>
      <c r="B62" s="64" t="inlineStr">
        <is>
          <t>Hawthorne County School District</t>
        </is>
      </c>
      <c r="C62" s="63" t="inlineStr">
        <is>
          <t>CA</t>
        </is>
      </c>
    </row>
    <row r="63">
      <c r="A63" s="59" t="inlineStr">
        <is>
          <t>S184H220195</t>
        </is>
      </c>
      <c r="B63" s="64" t="inlineStr">
        <is>
          <t>Irongate Public Schools</t>
        </is>
      </c>
      <c r="C63" s="63" t="inlineStr">
        <is>
          <t>ME</t>
        </is>
      </c>
    </row>
    <row r="64">
      <c r="A64" s="59" t="inlineStr">
        <is>
          <t>S184H220112</t>
        </is>
      </c>
      <c r="B64" s="64" t="inlineStr">
        <is>
          <t>Junipervale Unified School District</t>
        </is>
      </c>
      <c r="C64" s="63" t="inlineStr">
        <is>
          <t>CA</t>
        </is>
      </c>
    </row>
    <row r="65">
      <c r="A65" s="59" t="inlineStr">
        <is>
          <t>S184H220208</t>
        </is>
      </c>
      <c r="B65" s="64" t="inlineStr">
        <is>
          <t>Keystonebridge City Schools</t>
        </is>
      </c>
      <c r="C65" s="63" t="inlineStr">
        <is>
          <t>FL</t>
        </is>
      </c>
    </row>
    <row r="66">
      <c r="A66" s="59" t="inlineStr">
        <is>
          <t>S184H220213</t>
        </is>
      </c>
      <c r="B66" s="64" t="inlineStr">
        <is>
          <t>Lakecrest County School District</t>
        </is>
      </c>
      <c r="C66" s="63" t="inlineStr">
        <is>
          <t>AZ</t>
        </is>
      </c>
    </row>
    <row r="67">
      <c r="A67" s="59" t="inlineStr">
        <is>
          <t>S184H220061</t>
        </is>
      </c>
      <c r="B67" s="64" t="inlineStr">
        <is>
          <t>Marblehill Public Schools</t>
        </is>
      </c>
      <c r="C67" s="63" t="inlineStr">
        <is>
          <t>IL</t>
        </is>
      </c>
    </row>
    <row r="68">
      <c r="A68" s="59" t="inlineStr">
        <is>
          <t>S184H220125</t>
        </is>
      </c>
      <c r="B68" s="64" t="inlineStr">
        <is>
          <t>Northstar Unified School District</t>
        </is>
      </c>
      <c r="C68" s="63" t="inlineStr">
        <is>
          <t>TX</t>
        </is>
      </c>
    </row>
    <row r="69">
      <c r="A69" s="59" t="inlineStr">
        <is>
          <t>S184H220240</t>
        </is>
      </c>
      <c r="B69" s="64" t="inlineStr">
        <is>
          <t>Orchard City Schools</t>
        </is>
      </c>
      <c r="C69" s="63" t="inlineStr">
        <is>
          <t>DC</t>
        </is>
      </c>
    </row>
    <row r="70">
      <c r="A70" s="59" t="inlineStr">
        <is>
          <t>S184H220065</t>
        </is>
      </c>
      <c r="B70" s="64" t="inlineStr">
        <is>
          <t>Pinebrook County School District</t>
        </is>
      </c>
      <c r="C70" s="63" t="inlineStr">
        <is>
          <t>IN</t>
        </is>
      </c>
    </row>
    <row r="71">
      <c r="A71" s="59" t="inlineStr">
        <is>
          <t>S184H220096</t>
        </is>
      </c>
      <c r="B71" s="64" t="inlineStr">
        <is>
          <t>Quarryside Public Schools</t>
        </is>
      </c>
      <c r="C71" s="63" t="inlineStr">
        <is>
          <t>GA</t>
        </is>
      </c>
    </row>
    <row r="72">
      <c r="A72" s="59" t="inlineStr">
        <is>
          <t>S184H220222</t>
        </is>
      </c>
      <c r="B72" s="64" t="inlineStr">
        <is>
          <t>Rivergate Unified School District</t>
        </is>
      </c>
      <c r="C72" s="63" t="inlineStr">
        <is>
          <t>CA</t>
        </is>
      </c>
    </row>
    <row r="73">
      <c r="A73" s="59" t="inlineStr">
        <is>
          <t>S184H220029</t>
        </is>
      </c>
      <c r="B73" s="64" t="inlineStr">
        <is>
          <t>Stonecrest City Schools</t>
        </is>
      </c>
      <c r="C73" s="65" t="inlineStr">
        <is>
          <t>WA</t>
        </is>
      </c>
    </row>
    <row r="74">
      <c r="A74" s="59" t="inlineStr">
        <is>
          <t>S184H220219</t>
        </is>
      </c>
      <c r="B74" s="64" t="inlineStr">
        <is>
          <t>Tidewater County School District</t>
        </is>
      </c>
      <c r="C74" s="63" t="inlineStr">
        <is>
          <t>NY</t>
        </is>
      </c>
    </row>
    <row r="75">
      <c r="A75" s="59" t="inlineStr">
        <is>
          <t>S184H220027</t>
        </is>
      </c>
      <c r="B75" s="64" t="inlineStr">
        <is>
          <t>Upperfield Public Schools</t>
        </is>
      </c>
      <c r="C75" s="65" t="inlineStr">
        <is>
          <t>NC</t>
        </is>
      </c>
    </row>
    <row r="76">
      <c r="A76" s="59" t="inlineStr">
        <is>
          <t>S184H220058</t>
        </is>
      </c>
      <c r="B76" s="64" t="inlineStr">
        <is>
          <t>Vantage Unified School District</t>
        </is>
      </c>
      <c r="C76" s="63" t="inlineStr">
        <is>
          <t>VA</t>
        </is>
      </c>
    </row>
    <row r="77">
      <c r="A77" s="59" t="inlineStr">
        <is>
          <t>S184H220146</t>
        </is>
      </c>
      <c r="B77" s="64" t="inlineStr">
        <is>
          <t>Westmoor City Schools</t>
        </is>
      </c>
      <c r="C77" s="63" t="inlineStr">
        <is>
          <t>NM</t>
        </is>
      </c>
    </row>
    <row r="78">
      <c r="A78" s="59" t="inlineStr">
        <is>
          <t>S184H220230</t>
        </is>
      </c>
      <c r="B78" s="64" t="inlineStr">
        <is>
          <t>Xanadu County School District</t>
        </is>
      </c>
      <c r="C78" s="63" t="inlineStr">
        <is>
          <t>VA</t>
        </is>
      </c>
    </row>
    <row r="79">
      <c r="A79" s="59" t="inlineStr">
        <is>
          <t>S184H220036</t>
        </is>
      </c>
      <c r="B79" s="64" t="inlineStr">
        <is>
          <t>Yellowstone Public Schools</t>
        </is>
      </c>
      <c r="C79" s="65" t="inlineStr">
        <is>
          <t>NY</t>
        </is>
      </c>
    </row>
    <row r="80">
      <c r="A80" s="59" t="inlineStr">
        <is>
          <t>S184H220145</t>
        </is>
      </c>
      <c r="B80" s="64" t="inlineStr">
        <is>
          <t>Zion Unified School District</t>
        </is>
      </c>
      <c r="C80" s="63" t="inlineStr">
        <is>
          <t>VA</t>
        </is>
      </c>
    </row>
    <row r="81">
      <c r="A81" s="59" t="inlineStr">
        <is>
          <t>S184H220140</t>
        </is>
      </c>
      <c r="B81" s="64" t="inlineStr">
        <is>
          <t>Arcadia City Schools</t>
        </is>
      </c>
      <c r="C81" s="63" t="inlineStr">
        <is>
          <t>TX</t>
        </is>
      </c>
    </row>
    <row r="82">
      <c r="A82" s="59" t="inlineStr">
        <is>
          <t>S184H220052</t>
        </is>
      </c>
      <c r="B82" s="64" t="inlineStr">
        <is>
          <t>Birchwood County School District</t>
        </is>
      </c>
      <c r="C82" s="63" t="inlineStr">
        <is>
          <t>IL</t>
        </is>
      </c>
    </row>
    <row r="83">
      <c r="A83" s="59" t="inlineStr">
        <is>
          <t>S184H220233</t>
        </is>
      </c>
      <c r="B83" s="64" t="inlineStr">
        <is>
          <t>Coldspring Public Schools</t>
        </is>
      </c>
      <c r="C83" s="63" t="inlineStr">
        <is>
          <t>AR</t>
        </is>
      </c>
    </row>
    <row r="84">
      <c r="A84" s="59" t="inlineStr">
        <is>
          <t>S184H220037</t>
        </is>
      </c>
      <c r="B84" s="64" t="inlineStr">
        <is>
          <t>Dawnfield Unified School District</t>
        </is>
      </c>
      <c r="C84" s="65" t="inlineStr">
        <is>
          <t>MD</t>
        </is>
      </c>
    </row>
    <row r="85">
      <c r="A85" s="59" t="inlineStr">
        <is>
          <t>S184H220098</t>
        </is>
      </c>
      <c r="B85" s="64" t="inlineStr">
        <is>
          <t>Edgewood City Schools</t>
        </is>
      </c>
      <c r="C85" s="63" t="inlineStr">
        <is>
          <t>FL</t>
        </is>
      </c>
    </row>
    <row r="86">
      <c r="A86" s="59" t="inlineStr">
        <is>
          <t>S184H220144</t>
        </is>
      </c>
      <c r="B86" s="64" t="inlineStr">
        <is>
          <t>Fireside County School District</t>
        </is>
      </c>
      <c r="C86" s="63" t="inlineStr">
        <is>
          <t>ND</t>
        </is>
      </c>
    </row>
    <row r="87">
      <c r="A87" s="59" t="inlineStr">
        <is>
          <t>S184H220126</t>
        </is>
      </c>
      <c r="B87" s="64" t="inlineStr">
        <is>
          <t>Greyfield Public Schools</t>
        </is>
      </c>
      <c r="C87" s="63" t="inlineStr">
        <is>
          <t>DC</t>
        </is>
      </c>
    </row>
    <row r="88">
      <c r="A88" s="59" t="inlineStr">
        <is>
          <t>S184H220254</t>
        </is>
      </c>
      <c r="B88" s="64" t="inlineStr">
        <is>
          <t>Harrowgate Unified School District</t>
        </is>
      </c>
      <c r="C88" s="63" t="inlineStr">
        <is>
          <t>NY</t>
        </is>
      </c>
    </row>
    <row r="89">
      <c r="A89" s="59" t="inlineStr">
        <is>
          <t>S184H220257</t>
        </is>
      </c>
      <c r="B89" s="64" t="inlineStr">
        <is>
          <t>Ironclad City Schools</t>
        </is>
      </c>
      <c r="C89" s="63" t="inlineStr">
        <is>
          <t>SD</t>
        </is>
      </c>
    </row>
    <row r="90">
      <c r="A90" s="59" t="inlineStr">
        <is>
          <t>S184H220198</t>
        </is>
      </c>
      <c r="B90" s="64" t="inlineStr">
        <is>
          <t>Jadeview County School District</t>
        </is>
      </c>
      <c r="C90" s="63" t="inlineStr">
        <is>
          <t>CA</t>
        </is>
      </c>
    </row>
    <row r="91">
      <c r="A91" s="59" t="inlineStr">
        <is>
          <t>S184H220203</t>
        </is>
      </c>
      <c r="B91" s="64" t="inlineStr">
        <is>
          <t>Knollwood Public Schools</t>
        </is>
      </c>
      <c r="C91" s="63" t="inlineStr">
        <is>
          <t>CA</t>
        </is>
      </c>
    </row>
    <row r="92">
      <c r="A92" s="59" t="inlineStr">
        <is>
          <t>S184H220250</t>
        </is>
      </c>
      <c r="B92" s="64" t="inlineStr">
        <is>
          <t>Laurelwood Unified School District</t>
        </is>
      </c>
      <c r="C92" s="63" t="inlineStr">
        <is>
          <t>OR</t>
        </is>
      </c>
    </row>
    <row r="93">
      <c r="A93" s="59" t="inlineStr">
        <is>
          <t>S184H220100</t>
        </is>
      </c>
      <c r="B93" s="64" t="inlineStr">
        <is>
          <t>Midland City Schools</t>
        </is>
      </c>
      <c r="C93" s="63" t="inlineStr">
        <is>
          <t>OR</t>
        </is>
      </c>
    </row>
    <row r="94">
      <c r="A94" s="59" t="inlineStr">
        <is>
          <t>S184H220010</t>
        </is>
      </c>
      <c r="B94" s="64" t="inlineStr">
        <is>
          <t>Oldfield County School District</t>
        </is>
      </c>
      <c r="C94" s="65" t="inlineStr">
        <is>
          <t>OH</t>
        </is>
      </c>
    </row>
    <row r="95">
      <c r="A95" s="59" t="inlineStr">
        <is>
          <t>S184H220175</t>
        </is>
      </c>
      <c r="B95" s="64" t="inlineStr">
        <is>
          <t>Pebblebrook Public Schools</t>
        </is>
      </c>
      <c r="C95" s="63" t="inlineStr">
        <is>
          <t>IN</t>
        </is>
      </c>
    </row>
    <row r="96">
      <c r="A96" s="59" t="inlineStr">
        <is>
          <t>S184H220190</t>
        </is>
      </c>
      <c r="B96" s="64" t="inlineStr">
        <is>
          <t>Quailridge Unified School District</t>
        </is>
      </c>
      <c r="C96" s="63" t="inlineStr">
        <is>
          <t>WI</t>
        </is>
      </c>
    </row>
    <row r="97">
      <c r="A97" s="59" t="inlineStr">
        <is>
          <t>S184H220134</t>
        </is>
      </c>
      <c r="B97" s="64" t="inlineStr">
        <is>
          <t>Rowanfield City Schools</t>
        </is>
      </c>
      <c r="C97" s="63" t="inlineStr">
        <is>
          <t>NE</t>
        </is>
      </c>
    </row>
    <row r="98" ht="29" customHeight="1" s="12">
      <c r="A98" s="59" t="inlineStr">
        <is>
          <t>S184H220159</t>
        </is>
      </c>
      <c r="B98" s="64" t="inlineStr">
        <is>
          <t>Silverbrook County School District</t>
        </is>
      </c>
      <c r="C98" s="63" t="inlineStr">
        <is>
          <t>OR</t>
        </is>
      </c>
    </row>
    <row r="99">
      <c r="A99" s="59" t="inlineStr">
        <is>
          <t>S184H220242</t>
        </is>
      </c>
      <c r="B99" s="64" t="inlineStr">
        <is>
          <t>Thornwood Public Schools</t>
        </is>
      </c>
      <c r="C99" s="63" t="inlineStr">
        <is>
          <t>IL</t>
        </is>
      </c>
    </row>
    <row r="100">
      <c r="A100" s="59" t="inlineStr">
        <is>
          <t>S184H220054</t>
        </is>
      </c>
      <c r="B100" s="64" t="inlineStr">
        <is>
          <t>Underwood Unified School District</t>
        </is>
      </c>
      <c r="C100" s="63" t="inlineStr">
        <is>
          <t>AZ</t>
        </is>
      </c>
    </row>
    <row r="101">
      <c r="A101" s="59" t="inlineStr">
        <is>
          <t>S184H220068</t>
        </is>
      </c>
      <c r="B101" s="64" t="inlineStr">
        <is>
          <t>Vistapeak City Schools</t>
        </is>
      </c>
      <c r="C101" s="63" t="inlineStr">
        <is>
          <t>CT</t>
        </is>
      </c>
    </row>
    <row r="102">
      <c r="A102" s="59" t="inlineStr">
        <is>
          <t>S184H220185</t>
        </is>
      </c>
      <c r="B102" s="64" t="inlineStr">
        <is>
          <t>Whitewater County School District</t>
        </is>
      </c>
      <c r="C102" s="63" t="inlineStr">
        <is>
          <t>VA</t>
        </is>
      </c>
    </row>
    <row r="103">
      <c r="A103" s="59" t="inlineStr">
        <is>
          <t>S184H220102</t>
        </is>
      </c>
      <c r="B103" s="64" t="inlineStr">
        <is>
          <t>Dougherty County School System</t>
        </is>
      </c>
      <c r="C103" s="63" t="inlineStr">
        <is>
          <t>GA</t>
        </is>
      </c>
    </row>
    <row r="104">
      <c r="A104" s="59" t="inlineStr">
        <is>
          <t>S184H230202</t>
        </is>
      </c>
      <c r="B104" s="64" t="inlineStr">
        <is>
          <t>DePue Unit School District #103</t>
        </is>
      </c>
      <c r="C104" s="63" t="inlineStr">
        <is>
          <t>IL</t>
        </is>
      </c>
    </row>
    <row r="105">
      <c r="A105" s="59" t="inlineStr">
        <is>
          <t>S184H230201</t>
        </is>
      </c>
      <c r="B105" s="64" t="inlineStr">
        <is>
          <t>Para Los Ninos</t>
        </is>
      </c>
      <c r="C105" s="63" t="inlineStr">
        <is>
          <t>CA</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D4" sqref="D4"/>
    </sheetView>
  </sheetViews>
  <sheetFormatPr baseColWidth="8" defaultRowHeight="14.5"/>
  <cols>
    <col width="50.7265625" customWidth="1" style="12" min="1" max="1"/>
    <col width="7.81640625" customWidth="1" style="12" min="2" max="2"/>
    <col width="9.1796875" customWidth="1" style="12" min="3" max="3"/>
    <col width="8.1796875" customWidth="1" style="12" min="4" max="4"/>
    <col width="7.54296875" customWidth="1" style="46" min="5" max="5"/>
    <col width="7.81640625" customWidth="1" style="12" min="6" max="6"/>
    <col width="6.453125" customWidth="1" style="46" min="7" max="7"/>
    <col width="7.81640625" customWidth="1" style="12" min="8" max="8"/>
    <col width="8.81640625" customWidth="1" style="46" min="9" max="9"/>
    <col width="8.7265625" customWidth="1" style="46" min="11" max="11"/>
    <col width="8.7265625" customWidth="1" style="46" min="13" max="13"/>
    <col width="59.7265625" customWidth="1" style="12" min="14" max="14"/>
  </cols>
  <sheetData>
    <row r="1">
      <c r="A1" s="2" t="inlineStr">
        <is>
          <t>Measure</t>
        </is>
      </c>
      <c r="B1" s="25" t="inlineStr">
        <is>
          <t>EXAMPLE</t>
        </is>
      </c>
      <c r="C1" s="25" t="n"/>
      <c r="D1" s="27" t="inlineStr">
        <is>
          <t>Y1</t>
        </is>
      </c>
      <c r="E1" s="49" t="n"/>
      <c r="F1" s="28" t="inlineStr">
        <is>
          <t>Y2</t>
        </is>
      </c>
      <c r="G1" s="49" t="n"/>
      <c r="H1" s="28" t="inlineStr">
        <is>
          <t>Y3</t>
        </is>
      </c>
      <c r="I1" s="49" t="n"/>
      <c r="J1" s="28" t="inlineStr">
        <is>
          <t>Y4</t>
        </is>
      </c>
      <c r="K1" s="49" t="n"/>
      <c r="L1" s="28" t="inlineStr">
        <is>
          <t>Y5</t>
        </is>
      </c>
      <c r="N1" s="28" t="inlineStr">
        <is>
          <t>Notes</t>
        </is>
      </c>
    </row>
    <row r="2">
      <c r="A2" s="2" t="inlineStr">
        <is>
          <t>[Note redacted for anonymization]</t>
        </is>
      </c>
      <c r="B2" s="25" t="n"/>
      <c r="C2" s="25" t="n"/>
      <c r="D2" s="43" t="n"/>
      <c r="E2" s="50" t="n"/>
      <c r="F2" s="43" t="n"/>
      <c r="G2" s="50" t="n"/>
      <c r="H2" s="43" t="n"/>
      <c r="I2" s="50" t="n"/>
      <c r="J2" s="43" t="n"/>
      <c r="K2" s="50" t="n"/>
      <c r="L2" s="43" t="n"/>
      <c r="N2" s="43" t="n"/>
    </row>
    <row r="3">
      <c r="A3" s="3" t="inlineStr">
        <is>
          <t>Financial, LAB &gt;70%</t>
        </is>
      </c>
      <c r="B3" s="30" t="inlineStr">
        <is>
          <t>A</t>
        </is>
      </c>
      <c r="C3" s="26">
        <f>IF(B3="A",1,IF(B3="B",0.75,IF(B3="C",0.5,IF(B3="F",0))))</f>
        <v/>
      </c>
      <c r="D3" s="29" t="n"/>
      <c r="E3" s="46">
        <f>IF(D3="A",1,IF(D3="B",0.75,IF(D3="C",0.5,IF(D3="F",0))))</f>
        <v/>
      </c>
      <c r="F3" s="29" t="n"/>
      <c r="G3" s="46">
        <f>IF(F3="A",1,IF(F3="B",0.75,IF(F3="C",0.5,IF(F3="F",0))))</f>
        <v/>
      </c>
      <c r="H3" s="29" t="n"/>
      <c r="I3" s="46">
        <f>IF(H3="A",1,IF(H3="B",0.75,IF(H3="C",0.5,IF(H3="F",0))))</f>
        <v/>
      </c>
      <c r="J3" s="29" t="n"/>
      <c r="K3" s="46">
        <f>IF(J3="A",1,IF(J3="B",0.75,IF(J3="C",0.5,IF(J3="F",0))))</f>
        <v/>
      </c>
      <c r="L3" s="29" t="n"/>
      <c r="M3" s="46">
        <f>IF(L3="A",1,IF(L3="B",0.75,IF(L3="C",0.5,IF(L3="F",0))))</f>
        <v/>
      </c>
    </row>
    <row r="4">
      <c r="B4" s="25" t="n"/>
      <c r="C4" s="26" t="n"/>
    </row>
    <row r="5">
      <c r="A5" s="3" t="inlineStr">
        <is>
          <t>Financial, Excessive Drawdowns</t>
        </is>
      </c>
      <c r="B5" s="30" t="inlineStr">
        <is>
          <t>F</t>
        </is>
      </c>
      <c r="C5" s="26">
        <f>IF(B5="A",1,IF(B5="B",0.75,IF(B5="C",0.5,IF(B5="F",0))))</f>
        <v/>
      </c>
      <c r="D5" s="29" t="n"/>
      <c r="E5" s="46">
        <f>IF(D5="A",1,IF(D5="B",0.75,IF(D5="C",0.5,IF(D5="F",0))))</f>
        <v/>
      </c>
      <c r="F5" s="29" t="n"/>
      <c r="G5" s="46">
        <f>IF(F5="A",1,IF(F5="B",0.75,IF(F5="C",0.5,IF(F5="F",0))))</f>
        <v/>
      </c>
      <c r="H5" s="29" t="n"/>
      <c r="I5" s="46">
        <f>IF(H5="A",1,IF(H5="B",0.75,IF(H5="C",0.5,IF(H5="F",0))))</f>
        <v/>
      </c>
      <c r="J5" s="29" t="n"/>
      <c r="K5" s="46">
        <f>IF(J5="A",1,IF(J5="B",0.75,IF(J5="C",0.5,IF(J5="F",0))))</f>
        <v/>
      </c>
      <c r="L5" s="29" t="n"/>
      <c r="M5" s="46">
        <f>IF(L5="A",1,IF(L5="B",0.75,IF(L5="C",0.5,IF(L5="F",0))))</f>
        <v/>
      </c>
    </row>
    <row r="6">
      <c r="B6" s="25" t="n"/>
      <c r="C6" s="26" t="n"/>
    </row>
    <row r="7">
      <c r="A7" s="3" t="inlineStr">
        <is>
          <t>Performance, PD changes or staffing turnover</t>
        </is>
      </c>
      <c r="B7" s="30" t="inlineStr">
        <is>
          <t>A</t>
        </is>
      </c>
      <c r="C7" s="26">
        <f>IF(B7="A",1,IF(B7="B",0.75,IF(B7="C",0.5,IF(B7="F",0))))</f>
        <v/>
      </c>
      <c r="D7" s="29" t="n"/>
      <c r="E7" s="46">
        <f>IF(D7="A",1,IF(D7="B",0.75,IF(D7="C",0.5,IF(D7="F",0))))</f>
        <v/>
      </c>
      <c r="F7" s="29" t="n"/>
      <c r="G7" s="46">
        <f>IF(F7="A",1,IF(F7="B",0.75,IF(F7="C",0.5,IF(F7="F",0))))</f>
        <v/>
      </c>
      <c r="H7" s="29" t="n"/>
      <c r="I7" s="46">
        <f>IF(H7="A",1,IF(H7="B",0.75,IF(H7="C",0.5,IF(H7="F",0))))</f>
        <v/>
      </c>
      <c r="J7" s="29" t="n"/>
      <c r="K7" s="46">
        <f>IF(J7="A",1,IF(J7="B",0.75,IF(J7="C",0.5,IF(J7="F",0))))</f>
        <v/>
      </c>
      <c r="L7" s="29" t="n"/>
      <c r="M7" s="46">
        <f>IF(L7="A",1,IF(L7="B",0.75,IF(L7="C",0.5,IF(L7="F",0))))</f>
        <v/>
      </c>
    </row>
    <row r="8">
      <c r="B8" s="25" t="n"/>
      <c r="C8" s="26" t="n"/>
    </row>
    <row r="9">
      <c r="A9" s="3" t="inlineStr">
        <is>
          <t>Performance, other</t>
        </is>
      </c>
      <c r="B9" s="30" t="inlineStr">
        <is>
          <t>B</t>
        </is>
      </c>
      <c r="C9" s="26">
        <f>IF(B9="A",1,IF(B9="B",0.75,IF(B9="C",0.5,IF(B9="F",0))))</f>
        <v/>
      </c>
      <c r="D9" s="29" t="n"/>
      <c r="E9" s="46">
        <f>IF(D9="A",1,IF(D9="B",0.75,IF(D9="C",0.5,IF(D9="F",0))))</f>
        <v/>
      </c>
      <c r="F9" s="29" t="n"/>
      <c r="G9" s="46">
        <f>IF(F9="A",1,IF(F9="B",0.75,IF(F9="C",0.5,IF(F9="F",0))))</f>
        <v/>
      </c>
      <c r="H9" s="29" t="n"/>
      <c r="I9" s="46">
        <f>IF(H9="A",1,IF(H9="B",0.75,IF(H9="C",0.5,IF(H9="F",0))))</f>
        <v/>
      </c>
      <c r="J9" s="29" t="n"/>
      <c r="K9" s="46">
        <f>IF(J9="A",1,IF(J9="B",0.75,IF(J9="C",0.5,IF(J9="F",0))))</f>
        <v/>
      </c>
      <c r="L9" s="29" t="n"/>
      <c r="M9" s="46">
        <f>IF(L9="A",1,IF(L9="B",0.75,IF(L9="C",0.5,IF(L9="F",0))))</f>
        <v/>
      </c>
    </row>
    <row r="10">
      <c r="B10" s="25" t="n"/>
      <c r="C10" s="26" t="n"/>
    </row>
    <row r="11" ht="29" customHeight="1" s="12">
      <c r="A11" s="34" t="inlineStr">
        <is>
          <t>Internal controls (could include financial adjustments, lack of drawdowns)</t>
        </is>
      </c>
      <c r="B11" s="30" t="inlineStr">
        <is>
          <t>C</t>
        </is>
      </c>
      <c r="C11" s="26">
        <f>IF(B11="A",1,IF(B11="B",0.75,IF(B11="C",0.5,IF(B11="F",0))))</f>
        <v/>
      </c>
      <c r="D11" s="29" t="n"/>
      <c r="E11" s="46">
        <f>IF(D11="A",1,IF(D11="B",0.75,IF(D11="C",0.5,IF(D11="F",0))))</f>
        <v/>
      </c>
      <c r="F11" s="29" t="n"/>
      <c r="G11" s="46">
        <f>IF(F11="A",1,IF(F11="B",0.75,IF(F11="C",0.5,IF(F11="F",0))))</f>
        <v/>
      </c>
      <c r="H11" s="29" t="n"/>
      <c r="I11" s="46">
        <f>IF(H11="A",1,IF(H11="B",0.75,IF(H11="C",0.5,IF(H11="F",0))))</f>
        <v/>
      </c>
      <c r="J11" s="29" t="n"/>
      <c r="K11" s="46">
        <f>IF(J11="A",1,IF(J11="B",0.75,IF(J11="C",0.5,IF(J11="F",0))))</f>
        <v/>
      </c>
      <c r="L11" s="29" t="n"/>
      <c r="M11" s="46">
        <f>IF(L11="A",1,IF(L11="B",0.75,IF(L11="C",0.5,IF(L11="F",0))))</f>
        <v/>
      </c>
    </row>
    <row r="12">
      <c r="B12" s="25" t="n"/>
      <c r="C12" s="26" t="n"/>
    </row>
    <row r="13">
      <c r="A13" t="inlineStr">
        <is>
          <t>Conditions</t>
        </is>
      </c>
      <c r="B13" s="30" t="inlineStr">
        <is>
          <t>A</t>
        </is>
      </c>
      <c r="C13" s="26">
        <f>IF(B13="A",1,IF(B13="B",0.75,IF(B13="C",0.5,IF(B13="F",0))))</f>
        <v/>
      </c>
      <c r="D13" s="29" t="n"/>
      <c r="E13" s="46">
        <f>IF(D13="A",1,IF(D13="B",0.75,IF(D13="C",0.5,IF(D13="F",0))))</f>
        <v/>
      </c>
      <c r="F13" s="29" t="n"/>
      <c r="G13" s="46">
        <f>IF(F13="A",1,IF(F13="B",0.75,IF(F13="C",0.5,IF(F13="F",0))))</f>
        <v/>
      </c>
      <c r="H13" s="29" t="n"/>
      <c r="I13" s="46">
        <f>IF(H13="A",1,IF(H13="B",0.75,IF(H13="C",0.5,IF(H13="F",0))))</f>
        <v/>
      </c>
      <c r="J13" s="29" t="n"/>
      <c r="K13" s="46">
        <f>IF(J13="A",1,IF(J13="B",0.75,IF(J13="C",0.5,IF(J13="F",0))))</f>
        <v/>
      </c>
      <c r="L13" s="29" t="n"/>
      <c r="M13" s="46">
        <f>IF(L13="A",1,IF(L13="B",0.75,IF(L13="C",0.5,IF(L13="F",0))))</f>
        <v/>
      </c>
    </row>
    <row r="14"/>
    <row r="15">
      <c r="A15" s="45" t="inlineStr">
        <is>
          <t>TOTAL SCORE ADMINISTRATIVE</t>
        </is>
      </c>
      <c r="B15" s="45" t="n"/>
      <c r="C15" s="44">
        <f>SUM(C3*0.1, C5*0.1, C7*0.1, C9*0.5,C11*0.1,C13*0.1)</f>
        <v/>
      </c>
      <c r="D15" s="44" t="n"/>
      <c r="E15" s="44">
        <f>SUM(E3*0.1, E5*0.1, E7*0.1, E9*0.55,E11*0.1,E13*0.05)</f>
        <v/>
      </c>
      <c r="F15" s="44" t="n"/>
      <c r="G15" s="44">
        <f>SUM(G3*0.1, G5*0.1, G7*0.1, G9*0.55,G11*0.1,G13*0.05)</f>
        <v/>
      </c>
      <c r="H15" s="44" t="n"/>
      <c r="I15" s="44">
        <f>SUM(I3*0.1, I5*0.1, I7*0.1, I9*0.55,I11*0.1,I13*0.05)</f>
        <v/>
      </c>
      <c r="J15" s="44" t="n"/>
      <c r="K15" s="44">
        <f>SUM(K3*0.1, K5*0.1, K7*0.1, K9*0.55,K11*0.1,K13*0.05)</f>
        <v/>
      </c>
      <c r="L15" s="44" t="n"/>
      <c r="M15" s="44">
        <f>SUM(M3*0.2, M5*0.1, M7*0.1, M9*0.55,M11*0.05)</f>
        <v/>
      </c>
    </row>
    <row r="16">
      <c r="A16" s="2" t="n"/>
      <c r="B16" s="2" t="n"/>
      <c r="C16" s="2" t="n"/>
      <c r="D16" s="2" t="n"/>
      <c r="E16" s="51" t="n"/>
      <c r="F16" s="2" t="n"/>
      <c r="G16" s="51" t="n"/>
      <c r="H16" s="2" t="n"/>
      <c r="I16" s="51" t="n"/>
      <c r="J16" s="2" t="n"/>
      <c r="K16" s="51" t="n"/>
      <c r="L16" s="2" t="n"/>
      <c r="M16" s="51" t="n"/>
    </row>
    <row r="17">
      <c r="A17" s="2" t="inlineStr">
        <is>
          <t>GPRA MEASURES</t>
        </is>
      </c>
    </row>
    <row r="18">
      <c r="A18" s="38" t="inlineStr">
        <is>
          <t>GPRA 1: Hired</t>
        </is>
      </c>
      <c r="B18" s="25" t="n"/>
      <c r="C18" s="39" t="n"/>
      <c r="D18" s="39" t="n"/>
      <c r="E18" s="52" t="n"/>
      <c r="F18" s="53" t="n"/>
      <c r="G18" s="52" t="n"/>
      <c r="H18" s="53" t="n"/>
      <c r="I18" s="52" t="n"/>
      <c r="J18" s="53" t="n"/>
      <c r="K18" s="52" t="n"/>
      <c r="L18" s="53" t="n"/>
      <c r="M18" s="52" t="n"/>
    </row>
    <row r="19">
      <c r="A19" s="41" t="inlineStr">
        <is>
          <t>GPRA 2: Retained</t>
        </is>
      </c>
      <c r="B19" s="40" t="n"/>
      <c r="C19" s="39" t="n"/>
      <c r="D19" s="39" t="n"/>
      <c r="E19" s="56" t="n"/>
      <c r="F19" s="55" t="n"/>
      <c r="G19" s="56" t="n"/>
      <c r="H19" s="55" t="n"/>
      <c r="I19" s="56" t="n"/>
      <c r="J19" s="55" t="n"/>
      <c r="K19" s="56" t="n"/>
      <c r="L19" s="55" t="n"/>
      <c r="M19" s="56" t="n"/>
    </row>
    <row r="20">
      <c r="A20" t="inlineStr">
        <is>
          <t>GPRA 3: Ratio</t>
        </is>
      </c>
      <c r="B20" s="40" t="n"/>
      <c r="C20" s="39" t="n"/>
      <c r="D20" s="39" t="n"/>
      <c r="E20" s="56" t="n"/>
      <c r="F20" s="55" t="n"/>
      <c r="G20" s="56" t="n"/>
      <c r="H20" s="55" t="n"/>
      <c r="I20" s="56" t="n"/>
      <c r="J20" s="55" t="n"/>
      <c r="K20" s="56" t="n"/>
      <c r="L20" s="55" t="n"/>
      <c r="M20" s="56" t="n"/>
    </row>
    <row r="21">
      <c r="A21" s="39" t="inlineStr">
        <is>
          <t>GPRA 4: Attrition</t>
        </is>
      </c>
      <c r="B21" s="40" t="n"/>
      <c r="C21" s="39" t="n"/>
      <c r="D21" s="39" t="n"/>
      <c r="E21" s="56" t="n"/>
      <c r="F21" s="55" t="n"/>
      <c r="G21" s="56" t="n"/>
      <c r="H21" s="55" t="n"/>
      <c r="I21" s="56" t="n"/>
      <c r="J21" s="55" t="n"/>
      <c r="K21" s="56" t="n"/>
      <c r="L21" s="55" t="n"/>
      <c r="M21" s="56" t="n"/>
    </row>
    <row r="22">
      <c r="A22" s="42" t="inlineStr">
        <is>
          <t>[Note redacted for anonymization]</t>
        </is>
      </c>
      <c r="B22" s="29" t="n"/>
      <c r="C22" s="39" t="n"/>
      <c r="D22" s="39" t="n"/>
      <c r="E22" s="54" t="n"/>
      <c r="F22" s="55" t="n"/>
      <c r="G22" s="54" t="n"/>
      <c r="H22" s="55" t="n"/>
      <c r="I22" s="54" t="n"/>
      <c r="J22" s="55" t="n"/>
      <c r="K22" s="54" t="n"/>
      <c r="L22" s="55" t="n"/>
      <c r="M22" s="54" t="n"/>
    </row>
    <row r="23">
      <c r="A23" s="44" t="inlineStr">
        <is>
          <t>TOTAL SCORE GPRA</t>
        </is>
      </c>
      <c r="B23" s="44">
        <f>SUM(B18*0.4, B19*0.2, B20*0.1, B21*0.2, B22*0.1)</f>
        <v/>
      </c>
      <c r="C23" s="44" t="n"/>
      <c r="D23" s="44" t="n"/>
      <c r="E23" s="44">
        <f>-SUM(E18*0.4, E19*0.2, E20*0.1, E21*0.2, E22*0.1)</f>
        <v/>
      </c>
      <c r="F23" s="44" t="n"/>
      <c r="G23" s="44">
        <f>-SUM(G18*0.4, G19*0.2, G20*0.1, G21*0.2, G22*0.1)</f>
        <v/>
      </c>
      <c r="H23" s="44" t="n"/>
      <c r="I23" s="44">
        <f>-SUM(I18*0.4, I19*0.2, I20*0.1, I21*0.2, I22*0.1)</f>
        <v/>
      </c>
      <c r="J23" s="44" t="n"/>
      <c r="K23" s="44">
        <f>-SUM(K18*0.4, K19*0.2, K20*0.1, K21*0.2, K22*0.1)</f>
        <v/>
      </c>
      <c r="L23" s="44" t="n"/>
      <c r="M23" s="44">
        <f>-SUM(M18*0.4, M19*0.2, M20*0.1, M21*0.2, M22*0.1)</f>
        <v/>
      </c>
    </row>
    <row r="24"/>
    <row r="25"/>
    <row r="26">
      <c r="A26" s="47" t="inlineStr">
        <is>
          <t>TOTAL SCORES</t>
        </is>
      </c>
      <c r="B26" s="47" t="n"/>
      <c r="C26" s="48">
        <f>SUM(C15*0.6, B23*0.4)</f>
        <v/>
      </c>
      <c r="D26" s="47" t="n"/>
      <c r="E26" s="48">
        <f>SUM(E15*0.6, E23*0.4)</f>
        <v/>
      </c>
      <c r="F26" s="48" t="n"/>
      <c r="G26" s="48">
        <f>SUM(G15*0.6, G23*0.4)</f>
        <v/>
      </c>
      <c r="H26" s="48" t="n"/>
      <c r="I26" s="48">
        <f>SUM(I15*0.5, I23*0.5)</f>
        <v/>
      </c>
      <c r="J26" s="48" t="n"/>
      <c r="K26" s="48">
        <f>SUM(K15*0.4, K23*0.6)</f>
        <v/>
      </c>
      <c r="L26" s="48" t="n"/>
      <c r="M26" s="48">
        <f>SUM(M15*0.3, M23*0.7)</f>
        <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26"/>
  <sheetViews>
    <sheetView tabSelected="1" workbookViewId="0">
      <pane ySplit="1" topLeftCell="A2" activePane="bottomLeft" state="frozen"/>
      <selection pane="bottomLeft" activeCell="G26" sqref="G26"/>
    </sheetView>
  </sheetViews>
  <sheetFormatPr baseColWidth="8" defaultRowHeight="14.5"/>
  <cols>
    <col width="50.7265625" customWidth="1" style="12" min="1" max="1"/>
    <col width="7.81640625" customWidth="1" style="12" min="2" max="2"/>
    <col width="9.1796875" customWidth="1" style="12" min="3" max="3"/>
    <col width="8.1796875" customWidth="1" style="12" min="4" max="4"/>
    <col width="7.54296875" customWidth="1" style="46" min="5" max="5"/>
    <col width="7.81640625" customWidth="1" style="12" min="6" max="6"/>
    <col width="6.453125" customWidth="1" style="46" min="7" max="7"/>
    <col width="7.81640625" customWidth="1" style="12" min="8" max="8"/>
    <col width="8.81640625" customWidth="1" style="46" min="9" max="9"/>
    <col width="8.7265625" customWidth="1" style="46" min="11" max="11"/>
    <col width="8.7265625" customWidth="1" style="46" min="13" max="13"/>
    <col width="59.7265625" customWidth="1" style="12" min="14" max="14"/>
  </cols>
  <sheetData>
    <row r="1">
      <c r="A1" s="2" t="inlineStr">
        <is>
          <t>Measure</t>
        </is>
      </c>
      <c r="B1" s="25" t="inlineStr">
        <is>
          <t>EXAMPLE</t>
        </is>
      </c>
      <c r="C1" s="25" t="n"/>
      <c r="D1" s="27" t="inlineStr">
        <is>
          <t>Y1</t>
        </is>
      </c>
      <c r="E1" s="49" t="n"/>
      <c r="F1" s="28" t="inlineStr">
        <is>
          <t>Y2</t>
        </is>
      </c>
      <c r="G1" s="49" t="n"/>
      <c r="H1" s="28" t="inlineStr">
        <is>
          <t>Y3</t>
        </is>
      </c>
      <c r="I1" s="49" t="n"/>
      <c r="J1" s="28" t="inlineStr">
        <is>
          <t>Y4</t>
        </is>
      </c>
      <c r="K1" s="49" t="n"/>
      <c r="L1" s="28" t="inlineStr">
        <is>
          <t>Y5</t>
        </is>
      </c>
      <c r="N1" s="28" t="inlineStr">
        <is>
          <t>Notes</t>
        </is>
      </c>
    </row>
    <row r="2">
      <c r="A2" s="2" t="inlineStr">
        <is>
          <t>[Note redacted for anonymization]</t>
        </is>
      </c>
      <c r="B2" s="25" t="n"/>
      <c r="C2" s="25" t="n"/>
      <c r="D2" s="43" t="n"/>
      <c r="E2" s="50" t="n"/>
      <c r="F2" s="43" t="n"/>
      <c r="G2" s="50" t="n"/>
      <c r="H2" s="43" t="n"/>
      <c r="I2" s="50" t="n"/>
      <c r="J2" s="43" t="n"/>
      <c r="K2" s="50" t="n"/>
      <c r="L2" s="43" t="n"/>
      <c r="N2" s="43" t="n"/>
    </row>
    <row r="3">
      <c r="A3" s="3" t="inlineStr">
        <is>
          <t>Financial, LAB &gt;70%</t>
        </is>
      </c>
      <c r="B3" s="30" t="inlineStr">
        <is>
          <t>A</t>
        </is>
      </c>
      <c r="C3" s="26">
        <f>IF(B3="A",1,IF(B3="B",0.75,IF(B3="C",0.5,IF(B3="F",0))))</f>
        <v/>
      </c>
      <c r="D3" s="29" t="n"/>
      <c r="E3" s="46">
        <f>IF(D3="A",1,IF(D3="B",0.75,IF(D3="C",0.5,IF(D3="F",0))))</f>
        <v/>
      </c>
      <c r="F3" s="29" t="n"/>
      <c r="G3" s="46">
        <f>IF(F3="A",1,IF(F3="B",0.75,IF(F3="C",0.5,IF(F3="F",0))))</f>
        <v/>
      </c>
      <c r="H3" s="29" t="n"/>
      <c r="I3" s="46">
        <f>IF(H3="A",1,IF(H3="B",0.75,IF(H3="C",0.5,IF(H3="F",0))))</f>
        <v/>
      </c>
      <c r="J3" s="29" t="n"/>
      <c r="K3" s="46">
        <f>IF(J3="A",1,IF(J3="B",0.75,IF(J3="C",0.5,IF(J3="F",0))))</f>
        <v/>
      </c>
      <c r="L3" s="29" t="n"/>
      <c r="M3" s="46">
        <f>IF(L3="A",1,IF(L3="B",0.75,IF(L3="C",0.5,IF(L3="F",0))))</f>
        <v/>
      </c>
    </row>
    <row r="4">
      <c r="B4" s="25" t="n"/>
      <c r="C4" s="26" t="n"/>
    </row>
    <row r="5">
      <c r="A5" s="3" t="inlineStr">
        <is>
          <t>Financial, Excessive Drawdowns</t>
        </is>
      </c>
      <c r="B5" s="30" t="inlineStr">
        <is>
          <t>F</t>
        </is>
      </c>
      <c r="C5" s="26">
        <f>IF(B5="A",1,IF(B5="B",0.75,IF(B5="C",0.5,IF(B5="F",0))))</f>
        <v/>
      </c>
      <c r="D5" s="29" t="n"/>
      <c r="E5" s="46">
        <f>IF(D5="A",1,IF(D5="B",0.75,IF(D5="C",0.5,IF(D5="F",0))))</f>
        <v/>
      </c>
      <c r="F5" s="29" t="n"/>
      <c r="G5" s="46">
        <f>IF(F5="A",1,IF(F5="B",0.75,IF(F5="C",0.5,IF(F5="F",0))))</f>
        <v/>
      </c>
      <c r="H5" s="29" t="n"/>
      <c r="I5" s="46">
        <f>IF(H5="A",1,IF(H5="B",0.75,IF(H5="C",0.5,IF(H5="F",0))))</f>
        <v/>
      </c>
      <c r="J5" s="29" t="n"/>
      <c r="K5" s="46">
        <f>IF(J5="A",1,IF(J5="B",0.75,IF(J5="C",0.5,IF(J5="F",0))))</f>
        <v/>
      </c>
      <c r="L5" s="29" t="n"/>
      <c r="M5" s="46">
        <f>IF(L5="A",1,IF(L5="B",0.75,IF(L5="C",0.5,IF(L5="F",0))))</f>
        <v/>
      </c>
    </row>
    <row r="6">
      <c r="B6" s="25" t="n"/>
      <c r="C6" s="26" t="n"/>
    </row>
    <row r="7">
      <c r="A7" s="3" t="inlineStr">
        <is>
          <t>Performance, PD changes or staffing turnover</t>
        </is>
      </c>
      <c r="B7" s="30" t="inlineStr">
        <is>
          <t>A</t>
        </is>
      </c>
      <c r="C7" s="26">
        <f>IF(B7="A",1,IF(B7="B",0.75,IF(B7="C",0.5,IF(B7="F",0))))</f>
        <v/>
      </c>
      <c r="D7" s="29" t="n"/>
      <c r="E7" s="46">
        <f>IF(D7="A",1,IF(D7="B",0.75,IF(D7="C",0.5,IF(D7="F",0))))</f>
        <v/>
      </c>
      <c r="F7" s="29" t="n"/>
      <c r="G7" s="46">
        <f>IF(F7="A",1,IF(F7="B",0.75,IF(F7="C",0.5,IF(F7="F",0))))</f>
        <v/>
      </c>
      <c r="H7" s="29" t="n"/>
      <c r="I7" s="46">
        <f>IF(H7="A",1,IF(H7="B",0.75,IF(H7="C",0.5,IF(H7="F",0))))</f>
        <v/>
      </c>
      <c r="J7" s="29" t="n"/>
      <c r="K7" s="46">
        <f>IF(J7="A",1,IF(J7="B",0.75,IF(J7="C",0.5,IF(J7="F",0))))</f>
        <v/>
      </c>
      <c r="L7" s="29" t="n"/>
      <c r="M7" s="46">
        <f>IF(L7="A",1,IF(L7="B",0.75,IF(L7="C",0.5,IF(L7="F",0))))</f>
        <v/>
      </c>
    </row>
    <row r="8">
      <c r="B8" s="25" t="n"/>
      <c r="C8" s="26" t="n"/>
    </row>
    <row r="9">
      <c r="A9" s="3" t="inlineStr">
        <is>
          <t>Performance, other</t>
        </is>
      </c>
      <c r="B9" s="30" t="inlineStr">
        <is>
          <t>B</t>
        </is>
      </c>
      <c r="C9" s="26">
        <f>IF(B9="A",1,IF(B9="B",0.75,IF(B9="C",0.5,IF(B9="F",0))))</f>
        <v/>
      </c>
      <c r="D9" s="29" t="n"/>
      <c r="E9" s="46">
        <f>IF(D9="A",1,IF(D9="B",0.75,IF(D9="C",0.5,IF(D9="F",0))))</f>
        <v/>
      </c>
      <c r="F9" s="29" t="n"/>
      <c r="G9" s="46">
        <f>IF(F9="A",1,IF(F9="B",0.75,IF(F9="C",0.5,IF(F9="F",0))))</f>
        <v/>
      </c>
      <c r="H9" s="29" t="n"/>
      <c r="I9" s="46">
        <f>IF(H9="A",1,IF(H9="B",0.75,IF(H9="C",0.5,IF(H9="F",0))))</f>
        <v/>
      </c>
      <c r="J9" s="29" t="n"/>
      <c r="K9" s="46">
        <f>IF(J9="A",1,IF(J9="B",0.75,IF(J9="C",0.5,IF(J9="F",0))))</f>
        <v/>
      </c>
      <c r="L9" s="29" t="n"/>
      <c r="M9" s="46">
        <f>IF(L9="A",1,IF(L9="B",0.75,IF(L9="C",0.5,IF(L9="F",0))))</f>
        <v/>
      </c>
    </row>
    <row r="10">
      <c r="B10" s="25" t="n"/>
      <c r="C10" s="26" t="n"/>
    </row>
    <row r="11" ht="29" customHeight="1" s="12">
      <c r="A11" s="34" t="inlineStr">
        <is>
          <t>Internal controls (could include financial adjustments, lack of drawdowns)</t>
        </is>
      </c>
      <c r="B11" s="30" t="inlineStr">
        <is>
          <t>C</t>
        </is>
      </c>
      <c r="C11" s="26">
        <f>IF(B11="A",1,IF(B11="B",0.75,IF(B11="C",0.5,IF(B11="F",0))))</f>
        <v/>
      </c>
      <c r="D11" s="29" t="n"/>
      <c r="E11" s="46">
        <f>IF(D11="A",1,IF(D11="B",0.75,IF(D11="C",0.5,IF(D11="F",0))))</f>
        <v/>
      </c>
      <c r="F11" s="29" t="n"/>
      <c r="G11" s="46">
        <f>IF(F11="A",1,IF(F11="B",0.75,IF(F11="C",0.5,IF(F11="F",0))))</f>
        <v/>
      </c>
      <c r="H11" s="29" t="n"/>
      <c r="I11" s="46">
        <f>IF(H11="A",1,IF(H11="B",0.75,IF(H11="C",0.5,IF(H11="F",0))))</f>
        <v/>
      </c>
      <c r="J11" s="29" t="n"/>
      <c r="K11" s="46">
        <f>IF(J11="A",1,IF(J11="B",0.75,IF(J11="C",0.5,IF(J11="F",0))))</f>
        <v/>
      </c>
      <c r="L11" s="29" t="n"/>
      <c r="M11" s="46">
        <f>IF(L11="A",1,IF(L11="B",0.75,IF(L11="C",0.5,IF(L11="F",0))))</f>
        <v/>
      </c>
    </row>
    <row r="12">
      <c r="B12" s="25" t="n"/>
      <c r="C12" s="26" t="n"/>
    </row>
    <row r="13">
      <c r="A13" t="inlineStr">
        <is>
          <t>Conditions</t>
        </is>
      </c>
      <c r="B13" s="30" t="inlineStr">
        <is>
          <t>A</t>
        </is>
      </c>
      <c r="C13" s="26">
        <f>IF(B13="A",1,IF(B13="B",0.75,IF(B13="C",0.5,IF(B13="F",0))))</f>
        <v/>
      </c>
      <c r="D13" s="29" t="n"/>
      <c r="E13" s="46">
        <f>IF(D13="A",1,IF(D13="B",0.75,IF(D13="C",0.5,IF(D13="F",0))))</f>
        <v/>
      </c>
      <c r="F13" s="29" t="n"/>
      <c r="G13" s="46">
        <f>IF(F13="A",1,IF(F13="B",0.75,IF(F13="C",0.5,IF(F13="F",0))))</f>
        <v/>
      </c>
      <c r="H13" s="29" t="n"/>
      <c r="I13" s="46">
        <f>IF(H13="A",1,IF(H13="B",0.75,IF(H13="C",0.5,IF(H13="F",0))))</f>
        <v/>
      </c>
      <c r="J13" s="29" t="n"/>
      <c r="K13" s="46">
        <f>IF(J13="A",1,IF(J13="B",0.75,IF(J13="C",0.5,IF(J13="F",0))))</f>
        <v/>
      </c>
      <c r="L13" s="29" t="n"/>
      <c r="M13" s="46">
        <f>IF(L13="A",1,IF(L13="B",0.75,IF(L13="C",0.5,IF(L13="F",0))))</f>
        <v/>
      </c>
    </row>
    <row r="14"/>
    <row r="15">
      <c r="A15" s="45" t="inlineStr">
        <is>
          <t>TOTAL SCORE ADMINISTRATIVE</t>
        </is>
      </c>
      <c r="B15" s="45" t="n"/>
      <c r="C15" s="44">
        <f>SUM(C3*0.1, C5*0.1, C7*0.1, C9*0.5,C11*0.1,C13*0.1)</f>
        <v/>
      </c>
      <c r="D15" s="44" t="n"/>
      <c r="E15" s="44">
        <f>SUM(E3*0.1, E5*0.1, E7*0.1, E9*0.55,E11*0.1,E13*0.05)</f>
        <v/>
      </c>
      <c r="F15" s="44" t="n"/>
      <c r="G15" s="44">
        <f>SUM(G3*0.1, G5*0.1, G7*0.1, G9*0.55,G11*0.1,G13*0.05)</f>
        <v/>
      </c>
      <c r="H15" s="44" t="n"/>
      <c r="I15" s="44">
        <f>SUM(I3*0.1, I5*0.1, I7*0.1, I9*0.55,I11*0.1,I13*0.05)</f>
        <v/>
      </c>
      <c r="J15" s="44" t="n"/>
      <c r="K15" s="44">
        <f>SUM(K3*0.1, K5*0.1, K7*0.1, K9*0.55,K11*0.1,K13*0.05)</f>
        <v/>
      </c>
      <c r="L15" s="44" t="n"/>
      <c r="M15" s="44">
        <f>SUM(M3*0.2, M5*0.1, M7*0.1, M9*0.55,M11*0.05)</f>
        <v/>
      </c>
    </row>
    <row r="16">
      <c r="A16" s="2" t="n"/>
      <c r="B16" s="2" t="n"/>
      <c r="C16" s="2" t="n"/>
      <c r="D16" s="2" t="n"/>
      <c r="E16" s="51" t="n"/>
      <c r="F16" s="2" t="n"/>
      <c r="G16" s="51" t="n"/>
      <c r="H16" s="2" t="n"/>
      <c r="I16" s="51" t="n"/>
      <c r="J16" s="2" t="n"/>
      <c r="K16" s="51" t="n"/>
      <c r="L16" s="2" t="n"/>
      <c r="M16" s="51" t="n"/>
    </row>
    <row r="17">
      <c r="A17" s="2" t="inlineStr">
        <is>
          <t>GPRA MEASURES</t>
        </is>
      </c>
    </row>
    <row r="18">
      <c r="A18" s="38" t="inlineStr">
        <is>
          <t>GPRA 1: Hired</t>
        </is>
      </c>
      <c r="B18" s="25" t="n"/>
      <c r="C18" s="39" t="n"/>
      <c r="D18" s="39" t="n"/>
      <c r="E18" s="52" t="n"/>
      <c r="F18" s="53" t="n"/>
      <c r="G18" s="52" t="n"/>
      <c r="H18" s="53" t="n"/>
      <c r="I18" s="52" t="n"/>
      <c r="J18" s="53" t="n"/>
      <c r="K18" s="52" t="n"/>
      <c r="L18" s="53" t="n"/>
      <c r="M18" s="52" t="n"/>
    </row>
    <row r="19">
      <c r="A19" s="41" t="inlineStr">
        <is>
          <t>GPRA 2: Retained</t>
        </is>
      </c>
      <c r="B19" s="40" t="n"/>
      <c r="C19" s="39" t="n"/>
      <c r="D19" s="39" t="n"/>
      <c r="E19" s="56" t="n"/>
      <c r="F19" s="55" t="n"/>
      <c r="G19" s="56" t="n"/>
      <c r="H19" s="55" t="n"/>
      <c r="I19" s="56" t="n"/>
      <c r="J19" s="55" t="n"/>
      <c r="K19" s="56" t="n"/>
      <c r="L19" s="55" t="n"/>
      <c r="M19" s="56" t="n"/>
    </row>
    <row r="20">
      <c r="A20" t="inlineStr">
        <is>
          <t>GPRA 3: Ratio</t>
        </is>
      </c>
      <c r="B20" s="40" t="n"/>
      <c r="C20" s="39" t="n"/>
      <c r="D20" s="39" t="n"/>
      <c r="E20" s="56" t="n"/>
      <c r="F20" s="55" t="n"/>
      <c r="G20" s="56" t="n"/>
      <c r="H20" s="55" t="n"/>
      <c r="I20" s="56" t="n"/>
      <c r="J20" s="55" t="n"/>
      <c r="K20" s="56" t="n"/>
      <c r="L20" s="55" t="n"/>
      <c r="M20" s="56" t="n"/>
    </row>
    <row r="21">
      <c r="A21" s="39" t="inlineStr">
        <is>
          <t>GPRA 4: Attrition</t>
        </is>
      </c>
      <c r="B21" s="40" t="n"/>
      <c r="C21" s="39" t="n"/>
      <c r="D21" s="39" t="n"/>
      <c r="E21" s="56" t="n"/>
      <c r="F21" s="55" t="n"/>
      <c r="G21" s="56" t="n"/>
      <c r="H21" s="55" t="n"/>
      <c r="I21" s="56" t="n"/>
      <c r="J21" s="55" t="n"/>
      <c r="K21" s="56" t="n"/>
      <c r="L21" s="55" t="n"/>
      <c r="M21" s="56" t="n"/>
    </row>
    <row r="22">
      <c r="A22" s="42" t="inlineStr">
        <is>
          <t>[Note redacted for anonymization]</t>
        </is>
      </c>
      <c r="B22" s="29" t="n"/>
      <c r="C22" s="39" t="n"/>
      <c r="D22" s="39" t="n"/>
      <c r="E22" s="54" t="n"/>
      <c r="F22" s="55" t="n"/>
      <c r="G22" s="54" t="n"/>
      <c r="H22" s="55" t="n"/>
      <c r="I22" s="54" t="n"/>
      <c r="J22" s="55" t="n"/>
      <c r="K22" s="54" t="n"/>
      <c r="L22" s="55" t="n"/>
      <c r="M22" s="54" t="n"/>
    </row>
    <row r="23">
      <c r="A23" s="44" t="inlineStr">
        <is>
          <t>TOTAL SCORE GPRA</t>
        </is>
      </c>
      <c r="B23" s="44">
        <f>SUM(B18*0.4, B19*0.2, B20*0.1, B21*0.2, B22*0.1)</f>
        <v/>
      </c>
      <c r="C23" s="44" t="n"/>
      <c r="D23" s="44" t="n"/>
      <c r="E23" s="44">
        <f>-SUM(E18*0.4, E19*0.2, E20*0.1, E21*0.2, E22*0.1)</f>
        <v/>
      </c>
      <c r="F23" s="44" t="n"/>
      <c r="G23" s="44">
        <f>-SUM(G18*0.4, G19*0.2, G20*0.1, G21*0.2, G22*0.1)</f>
        <v/>
      </c>
      <c r="H23" s="44" t="n"/>
      <c r="I23" s="44">
        <f>-SUM(I18*0.4, I19*0.2, I20*0.1, I21*0.2, I22*0.1)</f>
        <v/>
      </c>
      <c r="J23" s="44" t="n"/>
      <c r="K23" s="44">
        <f>-SUM(K18*0.4, K19*0.2, K20*0.1, K21*0.2, K22*0.1)</f>
        <v/>
      </c>
      <c r="L23" s="44" t="n"/>
      <c r="M23" s="44">
        <f>-SUM(M18*0.4, M19*0.2, M20*0.1, M21*0.2, M22*0.1)</f>
        <v/>
      </c>
    </row>
    <row r="24"/>
    <row r="25"/>
    <row r="26">
      <c r="A26" s="47" t="inlineStr">
        <is>
          <t>TOTAL SCORES</t>
        </is>
      </c>
      <c r="B26" s="47" t="n"/>
      <c r="C26" s="48">
        <f>SUM(C15*0.6, B23*0.4)</f>
        <v/>
      </c>
      <c r="D26" s="47" t="n"/>
      <c r="E26" s="48">
        <f>SUM(E15*0.6, E23*0.4)</f>
        <v/>
      </c>
      <c r="F26" s="48" t="n"/>
      <c r="G26" s="48">
        <f>SUM(G15*0.6, G23*0.4)</f>
        <v/>
      </c>
      <c r="H26" s="48" t="n"/>
      <c r="I26" s="48">
        <f>SUM(I15*0.5, I23*0.5)</f>
        <v/>
      </c>
      <c r="J26" s="48" t="n"/>
      <c r="K26" s="48">
        <f>SUM(K15*0.4, K23*0.6)</f>
        <v/>
      </c>
      <c r="L26" s="48" t="n"/>
      <c r="M26" s="48">
        <f>SUM(M15*0.3, M23*0.7)</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G26" sqref="G26"/>
    </sheetView>
  </sheetViews>
  <sheetFormatPr baseColWidth="8" defaultRowHeight="14.5"/>
  <cols>
    <col width="50.7265625" customWidth="1" style="12" min="1" max="1"/>
    <col width="7.81640625" customWidth="1" style="12" min="2" max="2"/>
    <col width="9.1796875" customWidth="1" style="12" min="3" max="3"/>
    <col width="8.1796875" customWidth="1" style="12" min="4" max="4"/>
    <col width="7.54296875" customWidth="1" style="46" min="5" max="5"/>
    <col width="7.81640625" customWidth="1" style="12" min="6" max="6"/>
    <col width="6.453125" customWidth="1" style="46" min="7" max="7"/>
    <col width="7.81640625" customWidth="1" style="12" min="8" max="8"/>
    <col width="8.81640625" customWidth="1" style="46" min="9" max="9"/>
    <col width="8.7265625" customWidth="1" style="46" min="11" max="11"/>
    <col width="8.7265625" customWidth="1" style="46" min="13" max="13"/>
    <col width="59.7265625" customWidth="1" style="12" min="14" max="14"/>
  </cols>
  <sheetData>
    <row r="1">
      <c r="A1" s="2" t="inlineStr">
        <is>
          <t>Measure</t>
        </is>
      </c>
      <c r="B1" s="25" t="inlineStr">
        <is>
          <t>EXAMPLE</t>
        </is>
      </c>
      <c r="C1" s="25" t="n"/>
      <c r="D1" s="27" t="inlineStr">
        <is>
          <t>Y1</t>
        </is>
      </c>
      <c r="E1" s="49" t="n"/>
      <c r="F1" s="28" t="inlineStr">
        <is>
          <t>Y2</t>
        </is>
      </c>
      <c r="G1" s="49" t="n"/>
      <c r="H1" s="28" t="inlineStr">
        <is>
          <t>Y3</t>
        </is>
      </c>
      <c r="I1" s="49" t="n"/>
      <c r="J1" s="28" t="inlineStr">
        <is>
          <t>Y4</t>
        </is>
      </c>
      <c r="K1" s="49" t="n"/>
      <c r="L1" s="28" t="inlineStr">
        <is>
          <t>Y5</t>
        </is>
      </c>
      <c r="N1" s="28" t="inlineStr">
        <is>
          <t>Notes</t>
        </is>
      </c>
    </row>
    <row r="2">
      <c r="A2" s="2" t="inlineStr">
        <is>
          <t>[Note redacted for anonymization]</t>
        </is>
      </c>
      <c r="B2" s="25" t="n"/>
      <c r="C2" s="25" t="n"/>
      <c r="D2" s="43" t="n"/>
      <c r="E2" s="50" t="n"/>
      <c r="F2" s="43" t="n"/>
      <c r="G2" s="50" t="n"/>
      <c r="H2" s="43" t="n"/>
      <c r="I2" s="50" t="n"/>
      <c r="J2" s="43" t="n"/>
      <c r="K2" s="50" t="n"/>
      <c r="L2" s="43" t="n"/>
      <c r="N2" s="43" t="n"/>
    </row>
    <row r="3">
      <c r="A3" s="3" t="inlineStr">
        <is>
          <t>Financial, LAB &gt;70%</t>
        </is>
      </c>
      <c r="B3" s="30" t="inlineStr">
        <is>
          <t>A</t>
        </is>
      </c>
      <c r="C3" s="26">
        <f>IF(B3="A",1,IF(B3="B",0.75,IF(B3="C",0.5,IF(B3="F",0))))</f>
        <v/>
      </c>
      <c r="D3" s="29" t="n"/>
      <c r="E3" s="46">
        <f>IF(D3="A",1,IF(D3="B",0.75,IF(D3="C",0.5,IF(D3="F",0))))</f>
        <v/>
      </c>
      <c r="F3" s="29" t="n"/>
      <c r="G3" s="46">
        <f>IF(F3="A",1,IF(F3="B",0.75,IF(F3="C",0.5,IF(F3="F",0))))</f>
        <v/>
      </c>
      <c r="H3" s="29" t="n"/>
      <c r="I3" s="46">
        <f>IF(H3="A",1,IF(H3="B",0.75,IF(H3="C",0.5,IF(H3="F",0))))</f>
        <v/>
      </c>
      <c r="J3" s="29" t="n"/>
      <c r="K3" s="46">
        <f>IF(J3="A",1,IF(J3="B",0.75,IF(J3="C",0.5,IF(J3="F",0))))</f>
        <v/>
      </c>
      <c r="L3" s="29" t="n"/>
      <c r="M3" s="46">
        <f>IF(L3="A",1,IF(L3="B",0.75,IF(L3="C",0.5,IF(L3="F",0))))</f>
        <v/>
      </c>
    </row>
    <row r="4">
      <c r="B4" s="25" t="n"/>
      <c r="C4" s="26" t="n"/>
    </row>
    <row r="5">
      <c r="A5" s="3" t="inlineStr">
        <is>
          <t>Financial, Excessive Drawdowns</t>
        </is>
      </c>
      <c r="B5" s="30" t="inlineStr">
        <is>
          <t>F</t>
        </is>
      </c>
      <c r="C5" s="26">
        <f>IF(B5="A",1,IF(B5="B",0.75,IF(B5="C",0.5,IF(B5="F",0))))</f>
        <v/>
      </c>
      <c r="D5" s="29" t="n"/>
      <c r="E5" s="46">
        <f>IF(D5="A",1,IF(D5="B",0.75,IF(D5="C",0.5,IF(D5="F",0))))</f>
        <v/>
      </c>
      <c r="F5" s="29" t="n"/>
      <c r="G5" s="46">
        <f>IF(F5="A",1,IF(F5="B",0.75,IF(F5="C",0.5,IF(F5="F",0))))</f>
        <v/>
      </c>
      <c r="H5" s="29" t="n"/>
      <c r="I5" s="46">
        <f>IF(H5="A",1,IF(H5="B",0.75,IF(H5="C",0.5,IF(H5="F",0))))</f>
        <v/>
      </c>
      <c r="J5" s="29" t="n"/>
      <c r="K5" s="46">
        <f>IF(J5="A",1,IF(J5="B",0.75,IF(J5="C",0.5,IF(J5="F",0))))</f>
        <v/>
      </c>
      <c r="L5" s="29" t="n"/>
      <c r="M5" s="46">
        <f>IF(L5="A",1,IF(L5="B",0.75,IF(L5="C",0.5,IF(L5="F",0))))</f>
        <v/>
      </c>
    </row>
    <row r="6">
      <c r="B6" s="25" t="n"/>
      <c r="C6" s="26" t="n"/>
    </row>
    <row r="7">
      <c r="A7" s="3" t="inlineStr">
        <is>
          <t>Performance, PD changes or staffing turnover</t>
        </is>
      </c>
      <c r="B7" s="30" t="inlineStr">
        <is>
          <t>A</t>
        </is>
      </c>
      <c r="C7" s="26">
        <f>IF(B7="A",1,IF(B7="B",0.75,IF(B7="C",0.5,IF(B7="F",0))))</f>
        <v/>
      </c>
      <c r="D7" s="29" t="n"/>
      <c r="E7" s="46">
        <f>IF(D7="A",1,IF(D7="B",0.75,IF(D7="C",0.5,IF(D7="F",0))))</f>
        <v/>
      </c>
      <c r="F7" s="29" t="n"/>
      <c r="G7" s="46">
        <f>IF(F7="A",1,IF(F7="B",0.75,IF(F7="C",0.5,IF(F7="F",0))))</f>
        <v/>
      </c>
      <c r="H7" s="29" t="n"/>
      <c r="I7" s="46">
        <f>IF(H7="A",1,IF(H7="B",0.75,IF(H7="C",0.5,IF(H7="F",0))))</f>
        <v/>
      </c>
      <c r="J7" s="29" t="n"/>
      <c r="K7" s="46">
        <f>IF(J7="A",1,IF(J7="B",0.75,IF(J7="C",0.5,IF(J7="F",0))))</f>
        <v/>
      </c>
      <c r="L7" s="29" t="n"/>
      <c r="M7" s="46">
        <f>IF(L7="A",1,IF(L7="B",0.75,IF(L7="C",0.5,IF(L7="F",0))))</f>
        <v/>
      </c>
    </row>
    <row r="8">
      <c r="B8" s="25" t="n"/>
      <c r="C8" s="26" t="n"/>
    </row>
    <row r="9">
      <c r="A9" s="3" t="inlineStr">
        <is>
          <t>Performance, other</t>
        </is>
      </c>
      <c r="B9" s="30" t="inlineStr">
        <is>
          <t>B</t>
        </is>
      </c>
      <c r="C9" s="26">
        <f>IF(B9="A",1,IF(B9="B",0.75,IF(B9="C",0.5,IF(B9="F",0))))</f>
        <v/>
      </c>
      <c r="D9" s="29" t="n"/>
      <c r="E9" s="46">
        <f>IF(D9="A",1,IF(D9="B",0.75,IF(D9="C",0.5,IF(D9="F",0))))</f>
        <v/>
      </c>
      <c r="F9" s="29" t="n"/>
      <c r="G9" s="46">
        <f>IF(F9="A",1,IF(F9="B",0.75,IF(F9="C",0.5,IF(F9="F",0))))</f>
        <v/>
      </c>
      <c r="H9" s="29" t="n"/>
      <c r="I9" s="46">
        <f>IF(H9="A",1,IF(H9="B",0.75,IF(H9="C",0.5,IF(H9="F",0))))</f>
        <v/>
      </c>
      <c r="J9" s="29" t="n"/>
      <c r="K9" s="46">
        <f>IF(J9="A",1,IF(J9="B",0.75,IF(J9="C",0.5,IF(J9="F",0))))</f>
        <v/>
      </c>
      <c r="L9" s="29" t="n"/>
      <c r="M9" s="46">
        <f>IF(L9="A",1,IF(L9="B",0.75,IF(L9="C",0.5,IF(L9="F",0))))</f>
        <v/>
      </c>
    </row>
    <row r="10">
      <c r="B10" s="25" t="n"/>
      <c r="C10" s="26" t="n"/>
    </row>
    <row r="11" ht="29" customHeight="1" s="12">
      <c r="A11" s="34" t="inlineStr">
        <is>
          <t>Internal controls (could include financial adjustments, lack of drawdowns)</t>
        </is>
      </c>
      <c r="B11" s="30" t="inlineStr">
        <is>
          <t>C</t>
        </is>
      </c>
      <c r="C11" s="26">
        <f>IF(B11="A",1,IF(B11="B",0.75,IF(B11="C",0.5,IF(B11="F",0))))</f>
        <v/>
      </c>
      <c r="D11" s="29" t="n"/>
      <c r="E11" s="46">
        <f>IF(D11="A",1,IF(D11="B",0.75,IF(D11="C",0.5,IF(D11="F",0))))</f>
        <v/>
      </c>
      <c r="F11" s="29" t="n"/>
      <c r="G11" s="46">
        <f>IF(F11="A",1,IF(F11="B",0.75,IF(F11="C",0.5,IF(F11="F",0))))</f>
        <v/>
      </c>
      <c r="H11" s="29" t="n"/>
      <c r="I11" s="46">
        <f>IF(H11="A",1,IF(H11="B",0.75,IF(H11="C",0.5,IF(H11="F",0))))</f>
        <v/>
      </c>
      <c r="J11" s="29" t="n"/>
      <c r="K11" s="46">
        <f>IF(J11="A",1,IF(J11="B",0.75,IF(J11="C",0.5,IF(J11="F",0))))</f>
        <v/>
      </c>
      <c r="L11" s="29" t="n"/>
      <c r="M11" s="46">
        <f>IF(L11="A",1,IF(L11="B",0.75,IF(L11="C",0.5,IF(L11="F",0))))</f>
        <v/>
      </c>
    </row>
    <row r="12">
      <c r="B12" s="25" t="n"/>
      <c r="C12" s="26" t="n"/>
    </row>
    <row r="13">
      <c r="A13" t="inlineStr">
        <is>
          <t>Conditions</t>
        </is>
      </c>
      <c r="B13" s="30" t="inlineStr">
        <is>
          <t>A</t>
        </is>
      </c>
      <c r="C13" s="26">
        <f>IF(B13="A",1,IF(B13="B",0.75,IF(B13="C",0.5,IF(B13="F",0))))</f>
        <v/>
      </c>
      <c r="D13" s="29" t="n"/>
      <c r="E13" s="46">
        <f>IF(D13="A",1,IF(D13="B",0.75,IF(D13="C",0.5,IF(D13="F",0))))</f>
        <v/>
      </c>
      <c r="F13" s="29" t="n"/>
      <c r="G13" s="46">
        <f>IF(F13="A",1,IF(F13="B",0.75,IF(F13="C",0.5,IF(F13="F",0))))</f>
        <v/>
      </c>
      <c r="H13" s="29" t="n"/>
      <c r="I13" s="46">
        <f>IF(H13="A",1,IF(H13="B",0.75,IF(H13="C",0.5,IF(H13="F",0))))</f>
        <v/>
      </c>
      <c r="J13" s="29" t="n"/>
      <c r="K13" s="46">
        <f>IF(J13="A",1,IF(J13="B",0.75,IF(J13="C",0.5,IF(J13="F",0))))</f>
        <v/>
      </c>
      <c r="L13" s="29" t="n"/>
      <c r="M13" s="46">
        <f>IF(L13="A",1,IF(L13="B",0.75,IF(L13="C",0.5,IF(L13="F",0))))</f>
        <v/>
      </c>
    </row>
    <row r="14"/>
    <row r="15">
      <c r="A15" s="45" t="inlineStr">
        <is>
          <t>TOTAL SCORE ADMINISTRATIVE</t>
        </is>
      </c>
      <c r="B15" s="45" t="n"/>
      <c r="C15" s="44">
        <f>SUM(C3*0.1, C5*0.1, C7*0.1, C9*0.5,C11*0.1,C13*0.1)</f>
        <v/>
      </c>
      <c r="D15" s="44" t="n"/>
      <c r="E15" s="44">
        <f>SUM(E3*0.1, E5*0.1, E7*0.1, E9*0.55,E11*0.1,E13*0.05)</f>
        <v/>
      </c>
      <c r="F15" s="44" t="n"/>
      <c r="G15" s="44">
        <f>SUM(G3*0.1, G5*0.1, G7*0.1, G9*0.55,G11*0.1,G13*0.05)</f>
        <v/>
      </c>
      <c r="H15" s="44" t="n"/>
      <c r="I15" s="44">
        <f>SUM(I3*0.1, I5*0.1, I7*0.1, I9*0.55,I11*0.1,I13*0.05)</f>
        <v/>
      </c>
      <c r="J15" s="44" t="n"/>
      <c r="K15" s="44">
        <f>SUM(K3*0.1, K5*0.1, K7*0.1, K9*0.55,K11*0.1,K13*0.05)</f>
        <v/>
      </c>
      <c r="L15" s="44" t="n"/>
      <c r="M15" s="44">
        <f>SUM(M3*0.2, M5*0.1, M7*0.1, M9*0.55,M11*0.05)</f>
        <v/>
      </c>
    </row>
    <row r="16">
      <c r="A16" s="2" t="n"/>
      <c r="B16" s="2" t="n"/>
      <c r="C16" s="2" t="n"/>
      <c r="D16" s="2" t="n"/>
      <c r="E16" s="51" t="n"/>
      <c r="F16" s="2" t="n"/>
      <c r="G16" s="51" t="n"/>
      <c r="H16" s="2" t="n"/>
      <c r="I16" s="51" t="n"/>
      <c r="J16" s="2" t="n"/>
      <c r="K16" s="51" t="n"/>
      <c r="L16" s="2" t="n"/>
      <c r="M16" s="51" t="n"/>
    </row>
    <row r="17">
      <c r="A17" s="2" t="inlineStr">
        <is>
          <t>GPRA MEASURES</t>
        </is>
      </c>
    </row>
    <row r="18">
      <c r="A18" s="38" t="inlineStr">
        <is>
          <t>GPRA 1: Hired</t>
        </is>
      </c>
      <c r="B18" s="25" t="n"/>
      <c r="C18" s="39" t="n"/>
      <c r="D18" s="39" t="n"/>
      <c r="E18" s="52" t="n"/>
      <c r="F18" s="53" t="n"/>
      <c r="G18" s="52" t="n"/>
      <c r="H18" s="53" t="n"/>
      <c r="I18" s="52" t="n"/>
      <c r="J18" s="53" t="n"/>
      <c r="K18" s="52" t="n"/>
      <c r="L18" s="53" t="n"/>
      <c r="M18" s="52" t="n"/>
    </row>
    <row r="19">
      <c r="A19" s="41" t="inlineStr">
        <is>
          <t>GPRA 2: Retained</t>
        </is>
      </c>
      <c r="B19" s="40" t="n"/>
      <c r="C19" s="39" t="n"/>
      <c r="D19" s="39" t="n"/>
      <c r="E19" s="56" t="n"/>
      <c r="F19" s="55" t="n"/>
      <c r="G19" s="56" t="n"/>
      <c r="H19" s="55" t="n"/>
      <c r="I19" s="56" t="n"/>
      <c r="J19" s="55" t="n"/>
      <c r="K19" s="56" t="n"/>
      <c r="L19" s="55" t="n"/>
      <c r="M19" s="56" t="n"/>
    </row>
    <row r="20">
      <c r="A20" t="inlineStr">
        <is>
          <t>GPRA 3: Ratio</t>
        </is>
      </c>
      <c r="B20" s="40" t="n"/>
      <c r="C20" s="39" t="n"/>
      <c r="D20" s="39" t="n"/>
      <c r="E20" s="56" t="n"/>
      <c r="F20" s="55" t="n"/>
      <c r="G20" s="56" t="n"/>
      <c r="H20" s="55" t="n"/>
      <c r="I20" s="56" t="n"/>
      <c r="J20" s="55" t="n"/>
      <c r="K20" s="56" t="n"/>
      <c r="L20" s="55" t="n"/>
      <c r="M20" s="56" t="n"/>
    </row>
    <row r="21">
      <c r="A21" s="39" t="inlineStr">
        <is>
          <t>GPRA 4: Attrition</t>
        </is>
      </c>
      <c r="B21" s="40" t="n"/>
      <c r="C21" s="39" t="n"/>
      <c r="D21" s="39" t="n"/>
      <c r="E21" s="56" t="n"/>
      <c r="F21" s="55" t="n"/>
      <c r="G21" s="56" t="n"/>
      <c r="H21" s="55" t="n"/>
      <c r="I21" s="56" t="n"/>
      <c r="J21" s="55" t="n"/>
      <c r="K21" s="56" t="n"/>
      <c r="L21" s="55" t="n"/>
      <c r="M21" s="56" t="n"/>
    </row>
    <row r="22">
      <c r="A22" s="42" t="inlineStr">
        <is>
          <t>[Note redacted for anonymization]</t>
        </is>
      </c>
      <c r="B22" s="29" t="n"/>
      <c r="C22" s="39" t="n"/>
      <c r="D22" s="39" t="n"/>
      <c r="E22" s="54" t="n"/>
      <c r="F22" s="55" t="n"/>
      <c r="G22" s="54" t="n"/>
      <c r="H22" s="55" t="n"/>
      <c r="I22" s="54" t="n"/>
      <c r="J22" s="55" t="n"/>
      <c r="K22" s="54" t="n"/>
      <c r="L22" s="55" t="n"/>
      <c r="M22" s="54" t="n"/>
    </row>
    <row r="23">
      <c r="A23" s="44" t="inlineStr">
        <is>
          <t>TOTAL SCORE GPRA</t>
        </is>
      </c>
      <c r="B23" s="44">
        <f>SUM(B18*0.4, B19*0.2, B20*0.1, B21*0.2, B22*0.1)</f>
        <v/>
      </c>
      <c r="C23" s="44" t="n"/>
      <c r="D23" s="44" t="n"/>
      <c r="E23" s="44">
        <f>-SUM(E18*0.4, E19*0.2, E20*0.1, E21*0.2, E22*0.1)</f>
        <v/>
      </c>
      <c r="F23" s="44" t="n"/>
      <c r="G23" s="44">
        <f>-SUM(G18*0.4, G19*0.2, G20*0.1, G21*0.2, G22*0.1)</f>
        <v/>
      </c>
      <c r="H23" s="44" t="n"/>
      <c r="I23" s="44">
        <f>-SUM(I18*0.4, I19*0.2, I20*0.1, I21*0.2, I22*0.1)</f>
        <v/>
      </c>
      <c r="J23" s="44" t="n"/>
      <c r="K23" s="44">
        <f>-SUM(K18*0.4, K19*0.2, K20*0.1, K21*0.2, K22*0.1)</f>
        <v/>
      </c>
      <c r="L23" s="44" t="n"/>
      <c r="M23" s="44">
        <f>-SUM(M18*0.4, M19*0.2, M20*0.1, M21*0.2, M22*0.1)</f>
        <v/>
      </c>
    </row>
    <row r="24"/>
    <row r="25"/>
    <row r="26">
      <c r="A26" s="47" t="inlineStr">
        <is>
          <t>TOTAL SCORES</t>
        </is>
      </c>
      <c r="B26" s="47" t="n"/>
      <c r="C26" s="48">
        <f>SUM(C15*0.6, B23*0.4)</f>
        <v/>
      </c>
      <c r="D26" s="47" t="n"/>
      <c r="E26" s="48">
        <f>SUM(E15*0.6, E23*0.4)</f>
        <v/>
      </c>
      <c r="F26" s="48" t="n"/>
      <c r="G26" s="48">
        <f>SUM(G15*0.6, G23*0.4)</f>
        <v/>
      </c>
      <c r="H26" s="48" t="n"/>
      <c r="I26" s="48">
        <f>SUM(I15*0.5, I23*0.5)</f>
        <v/>
      </c>
      <c r="J26" s="48" t="n"/>
      <c r="K26" s="48">
        <f>SUM(K15*0.4, K23*0.6)</f>
        <v/>
      </c>
      <c r="L26" s="48" t="n"/>
      <c r="M26" s="48">
        <f>SUM(M15*0.3, M23*0.7)</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O39"/>
  <sheetViews>
    <sheetView workbookViewId="0">
      <pane ySplit="1" topLeftCell="A33" activePane="bottomLeft" state="frozen"/>
      <selection pane="bottomLeft" activeCell="B42" sqref="A1:XFD1048576"/>
    </sheetView>
  </sheetViews>
  <sheetFormatPr baseColWidth="8" defaultRowHeight="14.5"/>
  <cols>
    <col width="50.7265625" customWidth="1" style="12" min="2" max="2"/>
    <col width="7.81640625" customWidth="1" style="12" min="3" max="3"/>
    <col width="9.1796875" customWidth="1" style="12" min="4" max="4"/>
    <col width="8.1796875" customWidth="1" style="12" min="5" max="5"/>
    <col width="7.54296875" customWidth="1" style="12" min="6" max="6"/>
    <col width="7.81640625" customWidth="1" style="12" min="7" max="7"/>
    <col width="6.453125" customWidth="1" style="12" min="8" max="8"/>
    <col width="7.81640625" customWidth="1" style="12" min="9" max="9"/>
    <col width="6" customWidth="1" style="12" min="10" max="10"/>
    <col width="44.54296875" customWidth="1" style="12" min="15" max="15"/>
  </cols>
  <sheetData>
    <row r="1">
      <c r="B1" s="2" t="inlineStr">
        <is>
          <t>Measure</t>
        </is>
      </c>
      <c r="C1" s="25" t="inlineStr">
        <is>
          <t>EXAMPLE</t>
        </is>
      </c>
      <c r="D1" s="25" t="n"/>
      <c r="E1" s="27" t="inlineStr">
        <is>
          <t>Y1</t>
        </is>
      </c>
      <c r="F1" s="28" t="n"/>
      <c r="G1" s="28" t="inlineStr">
        <is>
          <t>Y2</t>
        </is>
      </c>
      <c r="H1" s="28" t="n"/>
      <c r="I1" s="28" t="inlineStr">
        <is>
          <t>Y3</t>
        </is>
      </c>
      <c r="J1" s="28" t="n"/>
      <c r="K1" s="28" t="inlineStr">
        <is>
          <t>Y4</t>
        </is>
      </c>
      <c r="L1" s="28" t="n"/>
      <c r="M1" s="28" t="inlineStr">
        <is>
          <t>Y5</t>
        </is>
      </c>
      <c r="O1" s="28" t="inlineStr">
        <is>
          <t>Notes</t>
        </is>
      </c>
    </row>
    <row r="2">
      <c r="B2" s="3" t="inlineStr">
        <is>
          <t>Financial, LAB &gt;70%</t>
        </is>
      </c>
      <c r="C2" s="30" t="inlineStr">
        <is>
          <t>A</t>
        </is>
      </c>
      <c r="D2" s="26">
        <f>IF(C2="A",1,IF(C2="B",0.75,IF(C2="C",0.5,IF(C2="F",0))))</f>
        <v/>
      </c>
      <c r="E2" s="29" t="n"/>
      <c r="F2">
        <f>IF(E2="A",1,IF(E2="B",0.75,IF(E2="C",0.5,IF(E2="F",0))))</f>
        <v/>
      </c>
      <c r="G2" s="29" t="n"/>
      <c r="H2">
        <f>IF(G2="A",1,IF(G2="B",0.75,IF(G2="C",0.5,IF(G2="F",0))))</f>
        <v/>
      </c>
      <c r="I2" s="29" t="n"/>
      <c r="J2">
        <f>IF(I2="A",1,IF(I2="B",0.75,IF(I2="C",0.5,IF(I2="F",0))))</f>
        <v/>
      </c>
      <c r="K2" s="29" t="n"/>
      <c r="L2">
        <f>IF(K2="A",1,IF(K2="B",0.75,IF(K2="C",0.5,IF(K2="F",0))))</f>
        <v/>
      </c>
      <c r="M2" s="29" t="n"/>
      <c r="N2">
        <f>IF(M2="A",1,IF(M2="B",0.75,IF(M2="C",0.5,IF(M2="F",0))))</f>
        <v/>
      </c>
    </row>
    <row r="3">
      <c r="A3" s="16" t="inlineStr">
        <is>
          <t>A</t>
        </is>
      </c>
      <c r="B3" t="inlineStr">
        <is>
          <t>No LAB</t>
        </is>
      </c>
      <c r="C3" s="25" t="n"/>
      <c r="D3" s="26" t="n"/>
    </row>
    <row r="4">
      <c r="A4" s="15" t="inlineStr">
        <is>
          <t>B</t>
        </is>
      </c>
      <c r="B4" t="inlineStr">
        <is>
          <t>&gt;=2 quarters, making progress, no concerns</t>
        </is>
      </c>
      <c r="C4" s="25" t="n"/>
      <c r="D4" s="26" t="n"/>
    </row>
    <row r="5">
      <c r="A5" s="14" t="inlineStr">
        <is>
          <t>C</t>
        </is>
      </c>
      <c r="B5" t="inlineStr">
        <is>
          <t>&gt;= 3 quarters w explanation</t>
        </is>
      </c>
      <c r="C5" s="25" t="n"/>
      <c r="D5" s="26" t="n"/>
    </row>
    <row r="6">
      <c r="A6" s="13" t="inlineStr">
        <is>
          <t>F</t>
        </is>
      </c>
      <c r="B6" t="inlineStr">
        <is>
          <t>All 4 quarters, 70-100%</t>
        </is>
      </c>
      <c r="C6" s="25" t="n"/>
      <c r="D6" s="26" t="n"/>
    </row>
    <row r="7">
      <c r="C7" s="25" t="n"/>
      <c r="D7" s="26" t="n"/>
    </row>
    <row r="8">
      <c r="C8" s="25" t="n"/>
      <c r="D8" s="26" t="n"/>
    </row>
    <row r="9">
      <c r="B9" s="3" t="inlineStr">
        <is>
          <t>Financial, Excessive Drawdowns</t>
        </is>
      </c>
      <c r="C9" s="30" t="inlineStr">
        <is>
          <t>F</t>
        </is>
      </c>
      <c r="D9" s="26">
        <f>IF(C9="A",1,IF(C9="B",0.75,IF(C9="C",0.5,IF(C9="F",0))))</f>
        <v/>
      </c>
      <c r="E9" s="29" t="n"/>
      <c r="F9">
        <f>IF(E9="A",1,IF(E9="B",0.75,IF(E9="C",0.5,IF(E9="F",0))))</f>
        <v/>
      </c>
      <c r="G9" s="29" t="n"/>
      <c r="H9">
        <f>IF(G9="A",1,IF(G9="B",0.75,IF(G9="C",0.5,IF(G9="F",0))))</f>
        <v/>
      </c>
      <c r="I9" s="29" t="n"/>
      <c r="J9">
        <f>IF(I9="A",1,IF(I9="B",0.75,IF(I9="C",0.5,IF(I9="F",0))))</f>
        <v/>
      </c>
      <c r="K9" s="29" t="n"/>
      <c r="L9">
        <f>IF(K9="A",1,IF(K9="B",0.75,IF(K9="C",0.5,IF(K9="F",0))))</f>
        <v/>
      </c>
      <c r="M9" s="29" t="n"/>
      <c r="N9">
        <f>IF(M9="A",1,IF(M9="B",0.75,IF(M9="C",0.5,IF(M9="F",0))))</f>
        <v/>
      </c>
    </row>
    <row r="10">
      <c r="A10" s="16" t="inlineStr">
        <is>
          <t>A</t>
        </is>
      </c>
      <c r="B10" t="inlineStr">
        <is>
          <t>No ED</t>
        </is>
      </c>
      <c r="C10" s="25" t="n"/>
      <c r="D10" s="26" t="n"/>
    </row>
    <row r="11">
      <c r="A11" s="15" t="inlineStr">
        <is>
          <t>B</t>
        </is>
      </c>
      <c r="B11" t="inlineStr">
        <is>
          <t>Explained and paid back, no concerns</t>
        </is>
      </c>
      <c r="C11" s="25" t="n"/>
      <c r="D11" s="26" t="n"/>
    </row>
    <row r="12">
      <c r="A12" s="14" t="inlineStr">
        <is>
          <t>C</t>
        </is>
      </c>
      <c r="B12" t="inlineStr">
        <is>
          <t>Once, not paid back in timely fashion</t>
        </is>
      </c>
      <c r="C12" s="25" t="n"/>
      <c r="D12" s="26" t="n"/>
    </row>
    <row r="13">
      <c r="A13" s="13" t="inlineStr">
        <is>
          <t>F</t>
        </is>
      </c>
      <c r="B13" t="inlineStr">
        <is>
          <t>More than once, all funds or large amount, not paid back timely</t>
        </is>
      </c>
      <c r="C13" s="25" t="n"/>
      <c r="D13" s="26" t="n"/>
    </row>
    <row r="14">
      <c r="C14" s="25" t="n"/>
      <c r="D14" s="26" t="n"/>
    </row>
    <row r="15">
      <c r="B15" s="3" t="inlineStr">
        <is>
          <t>Performance, PD changes or staffing turnover</t>
        </is>
      </c>
      <c r="C15" s="30" t="inlineStr">
        <is>
          <t>B</t>
        </is>
      </c>
      <c r="D15" s="26">
        <f>IF(C15="A",1,IF(C15="B",0.75,IF(C15="C",0.5,IF(C15="F",0))))</f>
        <v/>
      </c>
      <c r="E15" s="29" t="n"/>
      <c r="F15">
        <f>IF(E15="A",1,IF(E15="B",0.75,IF(E15="C",0.5,IF(E15="F",0))))</f>
        <v/>
      </c>
      <c r="G15" s="29" t="n"/>
      <c r="H15">
        <f>IF(G15="A",1,IF(G15="B",0.75,IF(G15="C",0.5,IF(G15="F",0))))</f>
        <v/>
      </c>
      <c r="I15" s="29" t="n"/>
      <c r="J15">
        <f>IF(I15="A",1,IF(I15="B",0.75,IF(I15="C",0.5,IF(I15="F",0))))</f>
        <v/>
      </c>
      <c r="K15" s="29" t="n"/>
      <c r="L15">
        <f>IF(K15="A",1,IF(K15="B",0.75,IF(K15="C",0.5,IF(K15="F",0))))</f>
        <v/>
      </c>
      <c r="M15" s="29" t="n"/>
      <c r="N15">
        <f>IF(M15="A",1,IF(M15="B",0.75,IF(M15="C",0.5,IF(M15="F",0))))</f>
        <v/>
      </c>
    </row>
    <row r="16" ht="29" customHeight="1" s="12">
      <c r="A16" s="16" t="inlineStr">
        <is>
          <t>A</t>
        </is>
      </c>
      <c r="B16" s="17" t="inlineStr">
        <is>
          <t>No PD changes or normal shifting of staff as project starts or proceeds</t>
        </is>
      </c>
      <c r="C16" s="25" t="n"/>
      <c r="D16" s="26" t="n"/>
    </row>
    <row r="17">
      <c r="A17" s="15" t="inlineStr">
        <is>
          <t>B</t>
        </is>
      </c>
      <c r="B17" t="inlineStr">
        <is>
          <t>Unclear staffing or some concern</t>
        </is>
      </c>
      <c r="C17" s="25" t="n"/>
      <c r="D17" s="26" t="n"/>
    </row>
    <row r="18">
      <c r="A18" s="14" t="inlineStr">
        <is>
          <t>C</t>
        </is>
      </c>
      <c r="B18" t="inlineStr">
        <is>
          <t>More than 1 PD or staff turnover</t>
        </is>
      </c>
      <c r="C18" s="25" t="n"/>
      <c r="D18" s="26" t="n"/>
    </row>
    <row r="19">
      <c r="A19" s="13" t="inlineStr">
        <is>
          <t>F</t>
        </is>
      </c>
      <c r="B19" t="inlineStr">
        <is>
          <t>High, more than 2 PDs</t>
        </is>
      </c>
      <c r="C19" s="25" t="n"/>
      <c r="D19" s="26" t="n"/>
    </row>
    <row r="20">
      <c r="C20" s="25" t="n"/>
      <c r="D20" s="26" t="n"/>
    </row>
    <row r="21">
      <c r="B21" s="3" t="inlineStr">
        <is>
          <t>Performance, other</t>
        </is>
      </c>
      <c r="C21" s="30" t="inlineStr">
        <is>
          <t>B</t>
        </is>
      </c>
      <c r="D21" s="26">
        <f>IF(C21="A",1,IF(C21="B",0.75,IF(C21="C",0.5,IF(C21="F",0))))</f>
        <v/>
      </c>
      <c r="E21" s="29" t="n"/>
      <c r="F21">
        <f>IF(E21="A",1,IF(E21="B",0.75,IF(E21="C",0.5,IF(E21="F",0))))</f>
        <v/>
      </c>
      <c r="G21" s="29" t="n"/>
      <c r="H21">
        <f>IF(G21="A",1,IF(G21="B",0.75,IF(G21="C",0.5,IF(G21="F",0))))</f>
        <v/>
      </c>
      <c r="I21" s="29" t="n"/>
      <c r="J21">
        <f>IF(I21="A",1,IF(I21="B",0.75,IF(I21="C",0.5,IF(I21="F",0))))</f>
        <v/>
      </c>
      <c r="K21" s="29" t="n"/>
      <c r="L21">
        <f>IF(K21="A",1,IF(K21="B",0.75,IF(K21="C",0.5,IF(K21="F",0))))</f>
        <v/>
      </c>
      <c r="M21" s="29" t="n"/>
      <c r="N21">
        <f>IF(M21="A",1,IF(M21="B",0.75,IF(M21="C",0.5,IF(M21="F",0))))</f>
        <v/>
      </c>
    </row>
    <row r="22">
      <c r="A22" s="16" t="inlineStr">
        <is>
          <t>A</t>
        </is>
      </c>
      <c r="B22" t="inlineStr">
        <is>
          <t>No concerns</t>
        </is>
      </c>
      <c r="C22" s="25" t="n"/>
      <c r="D22" s="26" t="n"/>
    </row>
    <row r="23" ht="43.5" customHeight="1" s="12">
      <c r="A23" s="15" t="inlineStr">
        <is>
          <t>B</t>
        </is>
      </c>
      <c r="B23" s="17" t="inlineStr">
        <is>
          <t>Some questions about performance or pace of project, lack of clarity on or concern about at least one aspect of performance</t>
        </is>
      </c>
      <c r="C23" s="25" t="n"/>
      <c r="D23" s="26" t="n"/>
    </row>
    <row r="24" ht="58" customHeight="1" s="12">
      <c r="A24" s="14" t="inlineStr">
        <is>
          <t>C</t>
        </is>
      </c>
      <c r="B24" s="17" t="inlineStr">
        <is>
          <t>Inconsistent contact/response time, frequent changes to plan, late reports, unclear partnerships, lack of clarity on or concern about a few aspects of performance but they are making progress</t>
        </is>
      </c>
      <c r="C24" s="25" t="n"/>
      <c r="D24" s="26" t="n"/>
    </row>
    <row r="25" ht="58" customHeight="1" s="12">
      <c r="A25" s="13" t="inlineStr">
        <is>
          <t>F</t>
        </is>
      </c>
      <c r="B25" s="17" t="inlineStr">
        <is>
          <t>Grantee is unresponsive or slow to respond, late APR or IPR, frequent changes to plan, goals are unclear, unable to identify partners or challenges with partners, adding new partners</t>
        </is>
      </c>
      <c r="C25" s="25" t="n"/>
      <c r="D25" s="26" t="n"/>
    </row>
    <row r="26">
      <c r="C26" s="25" t="n"/>
      <c r="D26" s="26" t="n"/>
    </row>
    <row r="27" ht="29" customHeight="1" s="12">
      <c r="B27" s="34" t="inlineStr">
        <is>
          <t>Internal controls (could include financial adjustments, lack of drawdowns)</t>
        </is>
      </c>
      <c r="C27" s="30" t="inlineStr">
        <is>
          <t>C</t>
        </is>
      </c>
      <c r="D27" s="26">
        <f>IF(C27="A",1,IF(C27="B",0.75,IF(C27="C",0.5,IF(C27="F",0))))</f>
        <v/>
      </c>
      <c r="E27" s="29" t="n"/>
      <c r="F27">
        <f>IF(E27="A",1,IF(E27="B",0.75,IF(E27="C",0.5,IF(E27="F",0))))</f>
        <v/>
      </c>
      <c r="G27" s="29" t="n"/>
      <c r="H27">
        <f>IF(G27="A",1,IF(G27="B",0.75,IF(G27="C",0.5,IF(G27="F",0))))</f>
        <v/>
      </c>
      <c r="I27" s="29" t="n"/>
      <c r="J27">
        <f>IF(I27="A",1,IF(I27="B",0.75,IF(I27="C",0.5,IF(I27="F",0))))</f>
        <v/>
      </c>
      <c r="K27" s="29" t="n"/>
      <c r="L27">
        <f>IF(K27="A",1,IF(K27="B",0.75,IF(K27="C",0.5,IF(K27="F",0))))</f>
        <v/>
      </c>
      <c r="M27" s="29" t="n"/>
      <c r="N27">
        <f>IF(M27="A",1,IF(M27="B",0.75,IF(M27="C",0.5,IF(M27="F",0))))</f>
        <v/>
      </c>
    </row>
    <row r="28">
      <c r="A28" s="16" t="inlineStr">
        <is>
          <t>A</t>
        </is>
      </c>
      <c r="B28" t="inlineStr">
        <is>
          <t>No concerns</t>
        </is>
      </c>
      <c r="C28" s="25" t="n"/>
      <c r="D28" s="26" t="n"/>
    </row>
    <row r="29">
      <c r="A29" s="15" t="inlineStr">
        <is>
          <t>B</t>
        </is>
      </c>
      <c r="B29" t="inlineStr">
        <is>
          <t>Minimal concerns noted but not impeding progress</t>
        </is>
      </c>
      <c r="C29" s="25" t="n"/>
      <c r="D29" s="26" t="n"/>
    </row>
    <row r="30">
      <c r="A30" s="14" t="inlineStr">
        <is>
          <t>C</t>
        </is>
      </c>
      <c r="B30" t="inlineStr">
        <is>
          <t>Questionable internal controls</t>
        </is>
      </c>
      <c r="C30" s="25" t="n"/>
      <c r="D30" s="26" t="n"/>
    </row>
    <row r="31" ht="29" customHeight="1" s="12">
      <c r="A31" s="13" t="inlineStr">
        <is>
          <t>F</t>
        </is>
      </c>
      <c r="B31" s="17" t="inlineStr">
        <is>
          <t>Seeming lack of internal controls (questionable PD, financial management, no AR, etc)</t>
        </is>
      </c>
      <c r="C31" s="25" t="n"/>
      <c r="D31" s="26" t="n"/>
    </row>
    <row r="32">
      <c r="C32" s="25" t="n"/>
      <c r="D32" s="26" t="n"/>
    </row>
    <row r="33">
      <c r="B33" t="inlineStr">
        <is>
          <t>Conditions</t>
        </is>
      </c>
      <c r="C33" s="30" t="inlineStr">
        <is>
          <t>A</t>
        </is>
      </c>
      <c r="D33" s="26">
        <f>IF(C33="A",1,IF(C33="B",0.75,IF(C33="C",0.5,IF(C33="F",0))))</f>
        <v/>
      </c>
      <c r="E33" s="29" t="n"/>
      <c r="F33">
        <f>IF(E33="A",1,IF(E33="B",0.75,IF(E33="C",0.5,IF(E33="F",0))))</f>
        <v/>
      </c>
      <c r="G33" s="29" t="n"/>
      <c r="H33">
        <f>IF(G33="A",1,IF(G33="B",0.75,IF(G33="C",0.5,IF(G33="F",0))))</f>
        <v/>
      </c>
      <c r="I33" s="29" t="n"/>
      <c r="J33">
        <f>IF(I33="A",1,IF(I33="B",0.75,IF(I33="C",0.5,IF(I33="F",0))))</f>
        <v/>
      </c>
      <c r="K33" s="29" t="n"/>
      <c r="L33">
        <f>IF(K33="A",1,IF(K33="B",0.75,IF(K33="C",0.5,IF(K33="F",0))))</f>
        <v/>
      </c>
      <c r="M33" s="29" t="n"/>
      <c r="N33">
        <f>IF(M33="A",1,IF(M33="B",0.75,IF(M33="C",0.5,IF(M33="F",0))))</f>
        <v/>
      </c>
    </row>
    <row r="34">
      <c r="A34" s="16" t="inlineStr">
        <is>
          <t>A</t>
        </is>
      </c>
      <c r="B34" t="inlineStr">
        <is>
          <t>Conditions met/no conditions</t>
        </is>
      </c>
      <c r="C34" s="25" t="n"/>
      <c r="D34" s="25" t="n"/>
    </row>
    <row r="35">
      <c r="A35" s="15" t="inlineStr">
        <is>
          <t>B</t>
        </is>
      </c>
      <c r="B35" t="inlineStr">
        <is>
          <t>Conditions met/no conditions</t>
        </is>
      </c>
      <c r="C35" s="25" t="n"/>
      <c r="D35" s="25" t="n"/>
    </row>
    <row r="36">
      <c r="A36" s="14" t="inlineStr">
        <is>
          <t>C</t>
        </is>
      </c>
      <c r="B36" t="inlineStr">
        <is>
          <t>Conditions not met but working towards</t>
        </is>
      </c>
      <c r="C36" s="25" t="n"/>
      <c r="D36" s="25" t="n"/>
    </row>
    <row r="37">
      <c r="A37" s="13" t="inlineStr">
        <is>
          <t>F</t>
        </is>
      </c>
      <c r="B37" t="inlineStr">
        <is>
          <t>Conditions not met in timely fashion</t>
        </is>
      </c>
      <c r="C37" s="25" t="n"/>
      <c r="D37" s="25" t="n"/>
    </row>
    <row r="39">
      <c r="B39" s="11" t="inlineStr">
        <is>
          <t>TOTAL SCORE</t>
        </is>
      </c>
      <c r="C39" s="25" t="n"/>
      <c r="D39" s="26">
        <f>SUM(D2*0.1, D9*0.1, D15*0.1, D21*0.5,D27*0.1,D33*0.1)</f>
        <v/>
      </c>
      <c r="E39" s="26" t="n"/>
      <c r="F39" s="26">
        <f>SUM(F2*0.1, F9*0.1, F15*0.1, F21*0.5,F27*0.1,F33*0.1)</f>
        <v/>
      </c>
      <c r="G39" s="26" t="n"/>
      <c r="H39" s="26">
        <f>SUM(H2*0.1, H9*0.1, H15*0.1, H21*0.5,H27*0.1,H33*0.1)</f>
        <v/>
      </c>
      <c r="I39" s="26" t="n"/>
      <c r="J39" s="26">
        <f>SUM(J2*0.1, J9*0.1, J15*0.1, J21*0.5,J27*0.1,J33*0.1)</f>
        <v/>
      </c>
      <c r="K39" s="26" t="n"/>
      <c r="L39" s="26">
        <f>SUM(L2*0.1, L9*0.1, L15*0.1, L21*0.5,L27*0.1,L33*0.1)</f>
        <v/>
      </c>
      <c r="M39" s="26" t="n"/>
      <c r="N39" s="26">
        <f>SUM(N2*0.2, N9*0.1, N15*0.1, N21*0.5,N27*0.1)</f>
        <v/>
      </c>
    </row>
  </sheetData>
  <pageMargins left="0.7" right="0.7" top="0.75" bottom="0.75" header="0.3" footer="0.3"/>
  <pageSetup orientation="portrait" horizontalDpi="1200" verticalDpi="1200"/>
</worksheet>
</file>

<file path=xl/worksheets/sheet9.xml><?xml version="1.0" encoding="utf-8"?>
<worksheet xmlns="http://schemas.openxmlformats.org/spreadsheetml/2006/main">
  <sheetPr>
    <outlinePr summaryBelow="1" summaryRight="1"/>
    <pageSetUpPr/>
  </sheetPr>
  <dimension ref="A1:G38"/>
  <sheetViews>
    <sheetView topLeftCell="A7" workbookViewId="0">
      <selection activeCell="D11" sqref="D11"/>
    </sheetView>
  </sheetViews>
  <sheetFormatPr baseColWidth="8" defaultRowHeight="14.5"/>
  <cols>
    <col width="32.54296875" customWidth="1" style="12" min="1" max="1"/>
    <col width="15.1796875" customWidth="1" style="12" min="2" max="3"/>
    <col width="10.453125" customWidth="1" style="12" min="4" max="4"/>
  </cols>
  <sheetData>
    <row r="1">
      <c r="A1" t="inlineStr">
        <is>
          <t>GPRA Measures</t>
        </is>
      </c>
      <c r="B1" t="inlineStr">
        <is>
          <t>Example</t>
        </is>
      </c>
      <c r="C1" s="69" t="inlineStr">
        <is>
          <t>Y1</t>
        </is>
      </c>
      <c r="D1" s="69" t="inlineStr">
        <is>
          <t>Y2</t>
        </is>
      </c>
      <c r="E1" s="69" t="inlineStr">
        <is>
          <t>Y3</t>
        </is>
      </c>
      <c r="F1" s="69" t="inlineStr">
        <is>
          <t>Y4</t>
        </is>
      </c>
      <c r="G1" s="69" t="inlineStr">
        <is>
          <t>Y5</t>
        </is>
      </c>
    </row>
    <row r="2">
      <c r="A2" t="inlineStr">
        <is>
          <t>1=YES, 0=NO</t>
        </is>
      </c>
      <c r="C2" s="69" t="inlineStr">
        <is>
          <t>Score</t>
        </is>
      </c>
    </row>
    <row r="4">
      <c r="A4" s="5" t="inlineStr">
        <is>
          <t>GPRA 1: HIRED</t>
        </is>
      </c>
      <c r="B4" s="18" t="n">
        <v>1</v>
      </c>
    </row>
    <row r="5">
      <c r="A5" s="6" t="inlineStr">
        <is>
          <t>Y1: 20-25% of target</t>
        </is>
      </c>
    </row>
    <row r="6">
      <c r="A6" s="7" t="inlineStr">
        <is>
          <t>Y2: 25-50% of target</t>
        </is>
      </c>
    </row>
    <row r="7">
      <c r="A7" s="7" t="inlineStr">
        <is>
          <t>Y3: 50-70% of target</t>
        </is>
      </c>
    </row>
    <row r="8">
      <c r="A8" s="7" t="inlineStr">
        <is>
          <t>Y4: 70-90% of target</t>
        </is>
      </c>
    </row>
    <row r="9">
      <c r="A9" s="7" t="inlineStr">
        <is>
          <t>Y5: 90-100% of target</t>
        </is>
      </c>
    </row>
    <row r="11">
      <c r="A11" s="8" t="inlineStr">
        <is>
          <t xml:space="preserve"> GPRA 2: Retained</t>
        </is>
      </c>
      <c r="B11" s="18" t="n">
        <v>1</v>
      </c>
    </row>
    <row r="12">
      <c r="A12" t="inlineStr">
        <is>
          <t>Y1: 20-25% of target</t>
        </is>
      </c>
    </row>
    <row r="13">
      <c r="A13" s="10" t="inlineStr">
        <is>
          <t>Y2: 25-50% of target</t>
        </is>
      </c>
    </row>
    <row r="14">
      <c r="A14" s="10" t="inlineStr">
        <is>
          <t>Y3: 50-70% of target</t>
        </is>
      </c>
    </row>
    <row r="15">
      <c r="A15" s="10" t="inlineStr">
        <is>
          <t>Y4: 70-90% of target</t>
        </is>
      </c>
    </row>
    <row r="16">
      <c r="A16" s="10" t="inlineStr">
        <is>
          <t>Y5: 90-100% of target</t>
        </is>
      </c>
    </row>
    <row r="18">
      <c r="A18" s="8" t="inlineStr">
        <is>
          <t>GPRA 3: Ratio</t>
        </is>
      </c>
      <c r="B18" s="18" t="n">
        <v>1</v>
      </c>
    </row>
    <row r="19">
      <c r="A19" s="10" t="inlineStr">
        <is>
          <t>Y1: Ratio is improving</t>
        </is>
      </c>
    </row>
    <row r="20">
      <c r="A20" s="10" t="inlineStr">
        <is>
          <t>Y2: Ratio improved or stable</t>
        </is>
      </c>
    </row>
    <row r="21">
      <c r="A21" s="10" t="inlineStr">
        <is>
          <t>Y3: Ratio improved or stable</t>
        </is>
      </c>
    </row>
    <row r="22">
      <c r="A22" s="10" t="inlineStr">
        <is>
          <t>Y4: Ratio improved or stable</t>
        </is>
      </c>
    </row>
    <row r="23">
      <c r="A23" s="10" t="inlineStr">
        <is>
          <t>Y5: Ratio improved or stable</t>
        </is>
      </c>
    </row>
    <row r="25">
      <c r="A25" s="4" t="inlineStr">
        <is>
          <t>GPRA 4: Attrition</t>
        </is>
      </c>
      <c r="B25" s="18" t="n">
        <v>0</v>
      </c>
    </row>
    <row r="26">
      <c r="A26" t="inlineStr">
        <is>
          <t>Y1: 10% of target</t>
        </is>
      </c>
    </row>
    <row r="27">
      <c r="A27" t="inlineStr">
        <is>
          <t>Y2: 11-25% of target</t>
        </is>
      </c>
    </row>
    <row r="28">
      <c r="A28" t="inlineStr">
        <is>
          <t>Y3: 26-50% of target</t>
        </is>
      </c>
    </row>
    <row r="29">
      <c r="A29" t="inlineStr">
        <is>
          <t>Y4: 51-75% of target</t>
        </is>
      </c>
    </row>
    <row r="30">
      <c r="A30" t="inlineStr">
        <is>
          <t>Y5: 76-100% of target</t>
        </is>
      </c>
    </row>
    <row r="31"/>
    <row r="32">
      <c r="A32" s="4" t="inlineStr">
        <is>
          <t>GPRA 5: Students Served</t>
        </is>
      </c>
      <c r="B32" s="18" t="n">
        <v>1</v>
      </c>
    </row>
    <row r="33">
      <c r="A33" t="inlineStr">
        <is>
          <t>Y1: Serving students</t>
        </is>
      </c>
    </row>
    <row r="34">
      <c r="A34" t="inlineStr">
        <is>
          <t>Y2: Number increased or stable</t>
        </is>
      </c>
    </row>
    <row r="35">
      <c r="A35" t="inlineStr">
        <is>
          <t>Y3: Number increased or stable</t>
        </is>
      </c>
    </row>
    <row r="36">
      <c r="A36" t="inlineStr">
        <is>
          <t>Y4: Number increased or stable</t>
        </is>
      </c>
    </row>
    <row r="37">
      <c r="A37" t="inlineStr">
        <is>
          <t>Y5: Number increased or stable</t>
        </is>
      </c>
    </row>
    <row r="38">
      <c r="B38" s="19">
        <f>SUM(B4*0.4,B11*0.3,B18*0.05,B25*0.2,B32*0.05)</f>
        <v/>
      </c>
      <c r="C38" s="19">
        <f>SUM(C4*0.4,C11*0.3,C18*0.05,C25*0.2,C32*0.05)</f>
        <v/>
      </c>
      <c r="D38" s="19">
        <f>SUM(D4*0.5,D11*0.3,D18*0.05,D25*0.1,D32*0.05)</f>
        <v/>
      </c>
      <c r="E38" s="19">
        <f>SUM(E4*0.5,E11*0.3,E18*0.05,E25*0.1,E32*0.05)</f>
        <v/>
      </c>
      <c r="F38" s="19">
        <f>SUM(F4*0.5,F11*0.3,F18*0.05,F25*0.1,F32*0.05)</f>
        <v/>
      </c>
      <c r="G38" s="19">
        <f>SUM(G4*0.5,G11*0.3,G18*0.05,G25*0.1,G32*0.05)</f>
        <v/>
      </c>
    </row>
  </sheetData>
  <mergeCells count="1">
    <mergeCell ref="C2:G2"/>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G38"/>
  <sheetViews>
    <sheetView workbookViewId="0">
      <pane ySplit="1" topLeftCell="A29" activePane="bottomLeft" state="frozen"/>
      <selection pane="bottomLeft" activeCell="G38" sqref="G38"/>
    </sheetView>
  </sheetViews>
  <sheetFormatPr baseColWidth="8" defaultRowHeight="14.5"/>
  <cols>
    <col width="23.81640625" bestFit="1" customWidth="1" style="12" min="1" max="1"/>
    <col width="11.453125" customWidth="1" style="12" min="2" max="2"/>
  </cols>
  <sheetData>
    <row r="1">
      <c r="A1" t="inlineStr">
        <is>
          <t>GPRA Measures</t>
        </is>
      </c>
      <c r="B1" s="23" t="inlineStr">
        <is>
          <t>Example</t>
        </is>
      </c>
      <c r="C1" s="69" t="inlineStr">
        <is>
          <t>Y1</t>
        </is>
      </c>
      <c r="D1" s="69" t="inlineStr">
        <is>
          <t>Y2</t>
        </is>
      </c>
      <c r="E1" s="69" t="inlineStr">
        <is>
          <t>Y3</t>
        </is>
      </c>
      <c r="F1" s="69" t="inlineStr">
        <is>
          <t>Y4</t>
        </is>
      </c>
      <c r="G1" s="69" t="inlineStr">
        <is>
          <t>Y5</t>
        </is>
      </c>
    </row>
    <row r="2">
      <c r="A2" t="inlineStr">
        <is>
          <t>1=YES, 0=NO</t>
        </is>
      </c>
      <c r="B2" s="23" t="n"/>
      <c r="C2" s="69" t="inlineStr">
        <is>
          <t>Score</t>
        </is>
      </c>
    </row>
    <row r="3">
      <c r="B3" s="23" t="n"/>
    </row>
    <row r="4">
      <c r="A4" s="35" t="inlineStr">
        <is>
          <t>GPRA 1: TRAINING</t>
        </is>
      </c>
      <c r="B4" s="23" t="n"/>
    </row>
    <row r="5">
      <c r="A5" s="36" t="inlineStr">
        <is>
          <t xml:space="preserve">GPRA 1a: Training Started </t>
        </is>
      </c>
      <c r="B5" s="37" t="n">
        <v>1</v>
      </c>
    </row>
    <row r="6">
      <c r="A6" s="31" t="inlineStr">
        <is>
          <t xml:space="preserve">Y1: 0-5% of target </t>
        </is>
      </c>
      <c r="B6" s="37" t="n"/>
    </row>
    <row r="7">
      <c r="A7" s="31" t="inlineStr">
        <is>
          <t>Y2: 0-10% of target</t>
        </is>
      </c>
      <c r="B7" s="37" t="n"/>
    </row>
    <row r="8">
      <c r="A8" s="31" t="inlineStr">
        <is>
          <t>Y3: 11-25% of target</t>
        </is>
      </c>
      <c r="B8" s="37" t="n"/>
    </row>
    <row r="9">
      <c r="A9" s="31" t="inlineStr">
        <is>
          <t>Y4: 25-75% of target</t>
        </is>
      </c>
      <c r="B9" s="37" t="n"/>
    </row>
    <row r="10">
      <c r="A10" s="31" t="inlineStr">
        <is>
          <t>Y5: 76-100% of target</t>
        </is>
      </c>
      <c r="B10" s="37" t="n"/>
    </row>
    <row r="11">
      <c r="A11" s="36" t="inlineStr">
        <is>
          <t>GPRA 1b: Training completed</t>
        </is>
      </c>
      <c r="B11" s="37" t="n">
        <v>1</v>
      </c>
    </row>
    <row r="12">
      <c r="A12" s="31" t="inlineStr">
        <is>
          <t xml:space="preserve">Y1: 0-5% of target </t>
        </is>
      </c>
      <c r="B12" s="37" t="n"/>
    </row>
    <row r="13">
      <c r="A13" s="31" t="inlineStr">
        <is>
          <t>Y2: 0-10% of target</t>
        </is>
      </c>
      <c r="B13" s="37" t="n"/>
    </row>
    <row r="14">
      <c r="A14" s="31" t="inlineStr">
        <is>
          <t>Y3: 11-25% of target</t>
        </is>
      </c>
      <c r="B14" s="37" t="n"/>
    </row>
    <row r="15">
      <c r="A15" s="31" t="inlineStr">
        <is>
          <t>Y4: 25-75% of target</t>
        </is>
      </c>
      <c r="B15" s="37" t="n"/>
    </row>
    <row r="16">
      <c r="A16" s="31" t="inlineStr">
        <is>
          <t>Y5: 76-100% of target</t>
        </is>
      </c>
      <c r="B16" s="37" t="n"/>
    </row>
    <row r="17">
      <c r="B17" s="37" t="n"/>
    </row>
    <row r="18">
      <c r="A18" s="11" t="inlineStr">
        <is>
          <t>GPRA 2: Placement</t>
        </is>
      </c>
      <c r="B18" s="37" t="n"/>
    </row>
    <row r="19">
      <c r="A19" s="4" t="inlineStr">
        <is>
          <t>GPRA 2a: Placement</t>
        </is>
      </c>
      <c r="B19" s="37" t="n">
        <v>1</v>
      </c>
    </row>
    <row r="20">
      <c r="A20" t="inlineStr">
        <is>
          <t xml:space="preserve">Y1: 0-5% of target </t>
        </is>
      </c>
      <c r="B20" s="37" t="n"/>
    </row>
    <row r="21">
      <c r="A21" t="inlineStr">
        <is>
          <t>Y2: 5-10% of target</t>
        </is>
      </c>
      <c r="B21" s="37" t="n"/>
    </row>
    <row r="22">
      <c r="A22" t="inlineStr">
        <is>
          <t>Y3: 11-25% of target</t>
        </is>
      </c>
      <c r="B22" s="37" t="n"/>
    </row>
    <row r="23">
      <c r="A23" t="inlineStr">
        <is>
          <t>Y4: 25-75% of target</t>
        </is>
      </c>
      <c r="B23" s="37" t="n"/>
    </row>
    <row r="24">
      <c r="A24" t="inlineStr">
        <is>
          <t>Y5: 76-100% of target</t>
        </is>
      </c>
      <c r="B24" s="37" t="n"/>
    </row>
    <row r="25">
      <c r="A25" s="4" t="inlineStr">
        <is>
          <t>GPRA 2b: Placed</t>
        </is>
      </c>
      <c r="B25" s="37" t="n">
        <v>1</v>
      </c>
    </row>
    <row r="26">
      <c r="A26" t="inlineStr">
        <is>
          <t xml:space="preserve">Y1: 0-5% of target </t>
        </is>
      </c>
      <c r="B26" s="37" t="n"/>
    </row>
    <row r="27">
      <c r="A27" t="inlineStr">
        <is>
          <t>Y2: 5-10% of target</t>
        </is>
      </c>
      <c r="B27" s="37" t="n"/>
    </row>
    <row r="28">
      <c r="A28" t="inlineStr">
        <is>
          <t>Y3: 11-25% of target</t>
        </is>
      </c>
      <c r="B28" s="37" t="n"/>
    </row>
    <row r="29">
      <c r="A29" t="inlineStr">
        <is>
          <t>Y4: 25-75% of target</t>
        </is>
      </c>
      <c r="B29" s="37" t="n"/>
    </row>
    <row r="30">
      <c r="A30" t="inlineStr">
        <is>
          <t>Y5: 76-100% of target</t>
        </is>
      </c>
      <c r="B30" s="37" t="n"/>
    </row>
    <row r="31">
      <c r="B31" s="37" t="n"/>
    </row>
    <row r="32">
      <c r="A32" s="6" t="inlineStr">
        <is>
          <t>GPRA 3: HIRED</t>
        </is>
      </c>
      <c r="B32" s="37" t="n">
        <v>1</v>
      </c>
    </row>
    <row r="33">
      <c r="A33" s="6" t="inlineStr">
        <is>
          <t xml:space="preserve">Y1: 0-5% of target </t>
        </is>
      </c>
      <c r="B33" s="37" t="n"/>
    </row>
    <row r="34">
      <c r="A34" s="7" t="inlineStr">
        <is>
          <t>Y2: 0-5% of target</t>
        </is>
      </c>
      <c r="B34" s="37" t="n"/>
    </row>
    <row r="35">
      <c r="A35" s="7" t="inlineStr">
        <is>
          <t>Y3: 5-10% of target</t>
        </is>
      </c>
      <c r="B35" s="37" t="n"/>
    </row>
    <row r="36">
      <c r="A36" s="7" t="inlineStr">
        <is>
          <t>Y4: 11-75% of target</t>
        </is>
      </c>
      <c r="B36" s="37" t="n"/>
    </row>
    <row r="37">
      <c r="A37" s="6" t="inlineStr">
        <is>
          <t>Y5: 76-100% of target</t>
        </is>
      </c>
      <c r="B37" s="37" t="n"/>
    </row>
    <row r="38">
      <c r="B38" s="24">
        <f>SUM(B5*0.4, B11*0.2, B19*0.1, B25*0.1, B32*0.2)</f>
        <v/>
      </c>
      <c r="C38" s="24">
        <f>SUM(C5*0.4, C11*0.2, C19*0.1, C25*0.1, C32*0.2)</f>
        <v/>
      </c>
      <c r="D38" s="24">
        <f>SUM(D5*0.4, D11*0.2, D19*0.1, D25*0.1, D32*0.2)</f>
        <v/>
      </c>
      <c r="E38" s="24">
        <f>SUM(E5*0.2, E11*0.3, E19*0.2, E25*0.1, E32*0.2)</f>
        <v/>
      </c>
      <c r="F38" s="24">
        <f>SUM(F5*0.2, F11*0.2, F19*0.2, F25*0.2, F32*0.2)</f>
        <v/>
      </c>
      <c r="G38" s="24">
        <f>SUM(G5*0.1, G11*0.1, G19*0.2, G25*0.2, G32*0.4)</f>
        <v/>
      </c>
    </row>
  </sheetData>
  <mergeCells count="1">
    <mergeCell ref="C2:G2"/>
  </mergeCells>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2:G7"/>
  <sheetViews>
    <sheetView workbookViewId="0">
      <selection activeCell="G7" sqref="G7"/>
    </sheetView>
  </sheetViews>
  <sheetFormatPr baseColWidth="8" defaultRowHeight="14.5"/>
  <cols>
    <col width="31" customWidth="1" style="12" min="1" max="1"/>
  </cols>
  <sheetData>
    <row r="2">
      <c r="B2" s="23" t="inlineStr">
        <is>
          <t>EXAMPLE</t>
        </is>
      </c>
      <c r="C2" t="inlineStr">
        <is>
          <t>Y1</t>
        </is>
      </c>
      <c r="D2" t="inlineStr">
        <is>
          <t>Y2</t>
        </is>
      </c>
      <c r="E2" t="inlineStr">
        <is>
          <t>Y3</t>
        </is>
      </c>
      <c r="F2" t="inlineStr">
        <is>
          <t>Y4</t>
        </is>
      </c>
      <c r="G2" t="inlineStr">
        <is>
          <t>Y5</t>
        </is>
      </c>
    </row>
    <row r="3">
      <c r="A3" t="inlineStr">
        <is>
          <t>Administrative Factors</t>
        </is>
      </c>
      <c r="B3" s="32">
        <f>'Administrative Factors'!D39</f>
        <v/>
      </c>
      <c r="C3" s="20">
        <f>'Administrative Factors'!F39</f>
        <v/>
      </c>
      <c r="D3" s="20">
        <f>'Administrative Factors'!H39</f>
        <v/>
      </c>
      <c r="E3" s="20">
        <f>'Administrative Factors'!J39</f>
        <v/>
      </c>
      <c r="F3" s="20">
        <f>'Administrative Factors'!L39</f>
        <v/>
      </c>
      <c r="G3" s="20">
        <f>'Administrative Factors'!N39</f>
        <v/>
      </c>
    </row>
    <row r="4">
      <c r="B4" s="23" t="n"/>
    </row>
    <row r="5">
      <c r="A5" t="inlineStr">
        <is>
          <t>GPRA Measures</t>
        </is>
      </c>
      <c r="B5" s="32">
        <f>'SBMH- GPRA'!B38</f>
        <v/>
      </c>
      <c r="C5" s="20">
        <f>'SBMH- GPRA'!D38</f>
        <v/>
      </c>
      <c r="E5" s="20">
        <f>'SBMH- GPRA'!E38</f>
        <v/>
      </c>
      <c r="F5" s="20">
        <f>'SBMH- GPRA'!F38</f>
        <v/>
      </c>
      <c r="G5" s="20">
        <f>'SBMH- GPRA'!G38</f>
        <v/>
      </c>
    </row>
    <row r="6">
      <c r="B6" s="23" t="n"/>
    </row>
    <row r="7">
      <c r="A7" s="21" t="inlineStr">
        <is>
          <t>TOTAL</t>
        </is>
      </c>
      <c r="B7" s="33">
        <f>SUM(B3*0.6,B5*0.4)</f>
        <v/>
      </c>
      <c r="C7" s="22">
        <f>SUM(C3*0.6,C5*0.4)</f>
        <v/>
      </c>
      <c r="D7" s="22">
        <f>SUM(D3*0.6,D5*0.4)</f>
        <v/>
      </c>
      <c r="E7" s="22">
        <f>SUM(E3*0.5,E5*0.5)</f>
        <v/>
      </c>
      <c r="F7" s="22">
        <f>SUM(F3*0.5,F5*0.5)</f>
        <v/>
      </c>
      <c r="G7" s="22">
        <f>SUM(G3*0.4,G5*0.6)</f>
        <v/>
      </c>
    </row>
  </sheetData>
  <pageMargins left="0.7" right="0.7" top="0.75" bottom="0.75" header="0.3" footer="0.3"/>
  <pageSetup orientation="portrait" horizontalDpi="1200" verticalDpi="1200"/>
</worksheet>
</file>

<file path=xl/worksheets/sheet12.xml><?xml version="1.0" encoding="utf-8"?>
<worksheet xmlns="http://schemas.openxmlformats.org/spreadsheetml/2006/main">
  <sheetPr>
    <outlinePr summaryBelow="1" summaryRight="1"/>
    <pageSetUpPr/>
  </sheetPr>
  <dimension ref="A2:G7"/>
  <sheetViews>
    <sheetView workbookViewId="0">
      <selection activeCell="G7" sqref="G7"/>
    </sheetView>
  </sheetViews>
  <sheetFormatPr baseColWidth="8" defaultRowHeight="14.5"/>
  <cols>
    <col width="19.54296875" bestFit="1" customWidth="1" style="12" min="1" max="1"/>
  </cols>
  <sheetData>
    <row r="2">
      <c r="B2" s="23" t="inlineStr">
        <is>
          <t>EXAMPLE</t>
        </is>
      </c>
      <c r="C2" t="inlineStr">
        <is>
          <t>Y1</t>
        </is>
      </c>
      <c r="D2" t="inlineStr">
        <is>
          <t>Y2</t>
        </is>
      </c>
      <c r="E2" t="inlineStr">
        <is>
          <t>Y3</t>
        </is>
      </c>
      <c r="F2" t="inlineStr">
        <is>
          <t>Y4</t>
        </is>
      </c>
      <c r="G2" t="inlineStr">
        <is>
          <t>Y5</t>
        </is>
      </c>
    </row>
    <row r="3">
      <c r="A3" t="inlineStr">
        <is>
          <t>Administrative Factors</t>
        </is>
      </c>
      <c r="B3" s="32">
        <f>'Administrative Factors'!D39</f>
        <v/>
      </c>
      <c r="C3" s="20">
        <f>'Administrative Factors'!F39</f>
        <v/>
      </c>
      <c r="D3" s="20">
        <f>'Administrative Factors'!H39</f>
        <v/>
      </c>
      <c r="E3" s="20">
        <f>'Administrative Factors'!J39</f>
        <v/>
      </c>
      <c r="F3" s="20">
        <f>'Administrative Factors'!L39</f>
        <v/>
      </c>
      <c r="G3" s="20">
        <f>'Administrative Factors'!N39</f>
        <v/>
      </c>
    </row>
    <row r="4">
      <c r="B4" s="23" t="n"/>
    </row>
    <row r="5">
      <c r="A5" t="inlineStr">
        <is>
          <t>GPRA Measures</t>
        </is>
      </c>
      <c r="B5" s="32">
        <f>'MHSP - GPRA'!B38</f>
        <v/>
      </c>
      <c r="C5" s="20">
        <f>'SBMH- GPRA'!D38</f>
        <v/>
      </c>
      <c r="E5" s="20">
        <f>'SBMH- GPRA'!E38</f>
        <v/>
      </c>
      <c r="F5" s="20">
        <f>'SBMH- GPRA'!F38</f>
        <v/>
      </c>
      <c r="G5" s="20">
        <f>'SBMH- GPRA'!G38</f>
        <v/>
      </c>
    </row>
    <row r="6">
      <c r="B6" s="23" t="n"/>
    </row>
    <row r="7">
      <c r="A7" s="21" t="inlineStr">
        <is>
          <t>TOTAL</t>
        </is>
      </c>
      <c r="B7" s="33">
        <f>SUM(B3*0.6,B5*0.4)</f>
        <v/>
      </c>
      <c r="C7" s="22">
        <f>SUM(C3*0.6,C5*0.4)</f>
        <v/>
      </c>
      <c r="D7" s="22">
        <f>SUM(D3*0.6,D5*0.4)</f>
        <v/>
      </c>
      <c r="E7" s="22">
        <f>SUM(E3*0.5,E5*0.5)</f>
        <v/>
      </c>
      <c r="F7" s="22">
        <f>SUM(F3*0.5,F5*0.5)</f>
        <v/>
      </c>
      <c r="G7" s="22">
        <f>SUM(G3*0.4,G5*0.6)</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Carr, Dana</dc:creator>
  <dcterms:created xmlns:dcterms="http://purl.org/dc/terms/" xmlns:xsi="http://www.w3.org/2001/XMLSchema-instance" xsi:type="dcterms:W3CDTF">2025-04-15T13:27:16Z</dcterms:created>
  <dcterms:modified xmlns:dcterms="http://purl.org/dc/terms/" xmlns:xsi="http://www.w3.org/2001/XMLSchema-instance" xsi:type="dcterms:W3CDTF">2026-03-27T05:06:10Z</dcterms:modified>
  <cp:lastModifiedBy>Clerge, Courtney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0x010100BD4EFC88C5D69F408EA78CB49BAFCE78</vt:lpwstr>
  </property>
</Properties>
</file>